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Primary Analysis\Mohakhali\"/>
    </mc:Choice>
  </mc:AlternateContent>
  <xr:revisionPtr revIDLastSave="0" documentId="13_ncr:1_{8B295591-01C6-46E8-A2DB-91312CC457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4-12-2025 Sunday" sheetId="1" r:id="rId1"/>
    <sheet name="17-12-2025 Wednesday" sheetId="2" r:id="rId2"/>
    <sheet name="19-12-2025 Friday" sheetId="3" r:id="rId3"/>
    <sheet name="Final cost" sheetId="4" r:id="rId4"/>
  </sheets>
  <externalReferences>
    <externalReference r:id="rId5"/>
  </externalReferences>
  <calcPr calcId="181029"/>
</workbook>
</file>

<file path=xl/calcChain.xml><?xml version="1.0" encoding="utf-8"?>
<calcChain xmlns="http://schemas.openxmlformats.org/spreadsheetml/2006/main">
  <c r="B16" i="4" l="1"/>
  <c r="J4" i="4"/>
  <c r="J5" i="4"/>
  <c r="J6" i="4"/>
  <c r="J8" i="4"/>
  <c r="J9" i="4"/>
  <c r="I3" i="4"/>
  <c r="J3" i="4"/>
  <c r="H8" i="4"/>
  <c r="H6" i="4"/>
  <c r="H5" i="4"/>
  <c r="H4" i="4"/>
  <c r="H3" i="4"/>
  <c r="C9" i="4"/>
  <c r="D9" i="4"/>
  <c r="E9" i="4"/>
  <c r="F9" i="4"/>
  <c r="G9" i="4"/>
  <c r="H9" i="4"/>
  <c r="I9" i="4"/>
  <c r="B9" i="4"/>
  <c r="C6" i="4"/>
  <c r="D6" i="4"/>
  <c r="E6" i="4"/>
  <c r="F6" i="4"/>
  <c r="F11" i="4" s="1"/>
  <c r="G6" i="4"/>
  <c r="G11" i="4" s="1"/>
  <c r="B6" i="4"/>
  <c r="C5" i="4"/>
  <c r="D5" i="4"/>
  <c r="E5" i="4"/>
  <c r="F5" i="4"/>
  <c r="G5" i="4"/>
  <c r="I5" i="4"/>
  <c r="I6" i="4" s="1"/>
  <c r="I11" i="4" s="1"/>
  <c r="B5" i="4"/>
  <c r="E11" i="4"/>
  <c r="D11" i="4"/>
  <c r="C11" i="4"/>
  <c r="B11" i="4"/>
  <c r="B25" i="2"/>
  <c r="B25" i="3"/>
  <c r="B16" i="3"/>
  <c r="B17" i="3" s="1"/>
  <c r="B24" i="1"/>
  <c r="B21" i="1"/>
  <c r="X16" i="3"/>
  <c r="X17" i="3" s="1"/>
  <c r="Y16" i="3"/>
  <c r="Y17" i="3" s="1"/>
  <c r="Z16" i="3"/>
  <c r="Z17" i="3" s="1"/>
  <c r="C15" i="3"/>
  <c r="D15" i="3"/>
  <c r="E15" i="3"/>
  <c r="F15" i="3"/>
  <c r="G15" i="3"/>
  <c r="H15" i="3"/>
  <c r="I15" i="3"/>
  <c r="J15" i="3"/>
  <c r="K15" i="3"/>
  <c r="L15" i="3"/>
  <c r="M15" i="3"/>
  <c r="N15" i="3"/>
  <c r="P15" i="3"/>
  <c r="Q15" i="3"/>
  <c r="R15" i="3"/>
  <c r="S15" i="3"/>
  <c r="T15" i="3"/>
  <c r="U15" i="3"/>
  <c r="U16" i="3" s="1"/>
  <c r="U17" i="3" s="1"/>
  <c r="V15" i="3"/>
  <c r="V16" i="3" s="1"/>
  <c r="V17" i="3" s="1"/>
  <c r="W15" i="3"/>
  <c r="W16" i="3" s="1"/>
  <c r="W17" i="3" s="1"/>
  <c r="X15" i="3"/>
  <c r="Y15" i="3"/>
  <c r="Z15" i="3"/>
  <c r="AA15" i="3"/>
  <c r="AA16" i="3" s="1"/>
  <c r="AA17" i="3" s="1"/>
  <c r="B15" i="3"/>
  <c r="C15" i="2"/>
  <c r="D15" i="2"/>
  <c r="E15" i="2"/>
  <c r="F15" i="2"/>
  <c r="G15" i="2"/>
  <c r="H15" i="2"/>
  <c r="I15" i="2"/>
  <c r="J15" i="2"/>
  <c r="K15" i="2"/>
  <c r="L15" i="2"/>
  <c r="M15" i="2"/>
  <c r="N15" i="2"/>
  <c r="P15" i="2"/>
  <c r="Q15" i="2"/>
  <c r="R15" i="2"/>
  <c r="S15" i="2"/>
  <c r="T15" i="2"/>
  <c r="U15" i="2"/>
  <c r="U16" i="2" s="1"/>
  <c r="U17" i="2" s="1"/>
  <c r="V15" i="2"/>
  <c r="V16" i="2" s="1"/>
  <c r="V17" i="2" s="1"/>
  <c r="W15" i="2"/>
  <c r="W16" i="2" s="1"/>
  <c r="W17" i="2" s="1"/>
  <c r="X15" i="2"/>
  <c r="X16" i="2" s="1"/>
  <c r="X17" i="2" s="1"/>
  <c r="Y15" i="2"/>
  <c r="Y16" i="2" s="1"/>
  <c r="Y17" i="2" s="1"/>
  <c r="Z15" i="2"/>
  <c r="Z16" i="2" s="1"/>
  <c r="Z17" i="2" s="1"/>
  <c r="AA15" i="2"/>
  <c r="AA16" i="2" s="1"/>
  <c r="AA17" i="2" s="1"/>
  <c r="B15" i="2"/>
  <c r="B16" i="2" s="1"/>
  <c r="C15" i="1"/>
  <c r="D15" i="1"/>
  <c r="E15" i="1"/>
  <c r="F15" i="1"/>
  <c r="G15" i="1"/>
  <c r="H15" i="1"/>
  <c r="I15" i="1"/>
  <c r="J15" i="1"/>
  <c r="K15" i="1"/>
  <c r="L15" i="1"/>
  <c r="M15" i="1"/>
  <c r="N15" i="1"/>
  <c r="P15" i="1"/>
  <c r="Q15" i="1"/>
  <c r="R15" i="1"/>
  <c r="S15" i="1"/>
  <c r="T15" i="1"/>
  <c r="U15" i="1"/>
  <c r="U16" i="1" s="1"/>
  <c r="U17" i="1" s="1"/>
  <c r="V15" i="1"/>
  <c r="V16" i="1" s="1"/>
  <c r="V17" i="1" s="1"/>
  <c r="W15" i="1"/>
  <c r="W16" i="1" s="1"/>
  <c r="W17" i="1" s="1"/>
  <c r="X15" i="1"/>
  <c r="X16" i="1" s="1"/>
  <c r="X17" i="1" s="1"/>
  <c r="Y15" i="1"/>
  <c r="Y16" i="1" s="1"/>
  <c r="Y17" i="1" s="1"/>
  <c r="Z15" i="1"/>
  <c r="Z16" i="1" s="1"/>
  <c r="Z17" i="1" s="1"/>
  <c r="AA15" i="1"/>
  <c r="AA16" i="1" s="1"/>
  <c r="AA17" i="1" s="1"/>
  <c r="B15" i="1"/>
  <c r="B16" i="1" s="1"/>
  <c r="B17" i="1" s="1"/>
  <c r="B19" i="1"/>
  <c r="B20" i="2"/>
  <c r="B20" i="3"/>
  <c r="B23" i="3" l="1"/>
  <c r="B23" i="2"/>
  <c r="B17" i="2"/>
  <c r="B22" i="1"/>
  <c r="H11" i="4"/>
  <c r="J11" i="4" l="1"/>
</calcChain>
</file>

<file path=xl/sharedStrings.xml><?xml version="1.0" encoding="utf-8"?>
<sst xmlns="http://schemas.openxmlformats.org/spreadsheetml/2006/main" count="223" uniqueCount="76">
  <si>
    <t>Time Period</t>
  </si>
  <si>
    <t>Total
PCU
(PCU)</t>
  </si>
  <si>
    <t>Car
(Count)</t>
  </si>
  <si>
    <t>CNG
(Count)</t>
  </si>
  <si>
    <t>Bike
(Count)</t>
  </si>
  <si>
    <t>Bus
(Count)</t>
  </si>
  <si>
    <t>Truck
(Count)</t>
  </si>
  <si>
    <t>Leguna
(Count)</t>
  </si>
  <si>
    <t>Total
Motorized
(Count)</t>
  </si>
  <si>
    <t>Rickshaw
(Count)</t>
  </si>
  <si>
    <t>Bicycle
(Count)</t>
  </si>
  <si>
    <t>Van
(Count)</t>
  </si>
  <si>
    <t>Total Non-
Motorized
(Count)</t>
  </si>
  <si>
    <t>Avg Speed
(km/h)</t>
  </si>
  <si>
    <t>Saturation
Check</t>
  </si>
  <si>
    <t>Total Red
Time (s)</t>
  </si>
  <si>
    <t>Avg Delay
per Veh.
(min/veh)</t>
  </si>
  <si>
    <t>Queue
Duration
Time (s)</t>
  </si>
  <si>
    <t>Max Queue
Length
(LVU)</t>
  </si>
  <si>
    <t>Vehicle
Queue
Length (m)</t>
  </si>
  <si>
    <t>Travel
Time Cost
(BDT)</t>
  </si>
  <si>
    <t>Fuel
Cost
(BDT)</t>
  </si>
  <si>
    <t>Electricity
Cost (BDT)</t>
  </si>
  <si>
    <t>Pollution
Cost (BDT)</t>
  </si>
  <si>
    <t>Total VOC
(BDT)</t>
  </si>
  <si>
    <t>Total Cost
Per Camera
(BDT)</t>
  </si>
  <si>
    <t>Total Cost
Intersection
@D=0.55 (BDT)</t>
  </si>
  <si>
    <t>08:00-08:15</t>
  </si>
  <si>
    <t>OK (μ &gt; λ)</t>
  </si>
  <si>
    <t>08:30-08:45</t>
  </si>
  <si>
    <t>OVERSATURATED (μ ≤ λ)</t>
  </si>
  <si>
    <t>N/A</t>
  </si>
  <si>
    <t>09:00-09:45</t>
  </si>
  <si>
    <t>09:30-09:45</t>
  </si>
  <si>
    <t>12:00-12:15</t>
  </si>
  <si>
    <t>12:30-12:45</t>
  </si>
  <si>
    <t>13:00-13:15</t>
  </si>
  <si>
    <t>13:30-13:45</t>
  </si>
  <si>
    <t>17:00-17:15</t>
  </si>
  <si>
    <t>17:30-17:45</t>
  </si>
  <si>
    <t>18:00-18:15</t>
  </si>
  <si>
    <t>18:30-18:45</t>
  </si>
  <si>
    <t>09:00-09:15</t>
  </si>
  <si>
    <t>Traffic Analysis Consolidated Report —  19.12.2025 (Friday)</t>
  </si>
  <si>
    <t>Traffic Analysis Consolidated Report — 17.12.2025 (Wednesday)</t>
  </si>
  <si>
    <t>Traffic Analysis Consolidated Report — 14.12.2025 (Sunday)</t>
  </si>
  <si>
    <t>PHF</t>
  </si>
  <si>
    <t>LOS</t>
  </si>
  <si>
    <t>B</t>
  </si>
  <si>
    <t>A</t>
  </si>
  <si>
    <t>Total for 3 hours</t>
  </si>
  <si>
    <t>Total for 1 hour</t>
  </si>
  <si>
    <t>Total for 12 hours</t>
  </si>
  <si>
    <t>Capacity</t>
  </si>
  <si>
    <t xml:space="preserve">V/C </t>
  </si>
  <si>
    <t>D</t>
  </si>
  <si>
    <t>Average speed</t>
  </si>
  <si>
    <t>F</t>
  </si>
  <si>
    <t>V/C</t>
  </si>
  <si>
    <t>C</t>
  </si>
  <si>
    <t>Avg. speed</t>
  </si>
  <si>
    <t>For weekdays</t>
  </si>
  <si>
    <t>Total Cost
Per Camera Excluding Fuel+Electricity
(BDT)</t>
  </si>
  <si>
    <t>Total Cost
Intersection
@D=0.55 (BDT) Excluding Fuel+Electricity</t>
  </si>
  <si>
    <t>Sunday</t>
  </si>
  <si>
    <t>Wednesday</t>
  </si>
  <si>
    <t>Average</t>
  </si>
  <si>
    <t>for 240 working days</t>
  </si>
  <si>
    <t>For Weekends</t>
  </si>
  <si>
    <t>Friday</t>
  </si>
  <si>
    <t>for 125 days</t>
  </si>
  <si>
    <t>Grand Total</t>
  </si>
  <si>
    <t>Time
Period (considering 12 hrs daylight in a day)</t>
  </si>
  <si>
    <t>2 CRORE 75 LAKH 13 THOUSAND 439 TAKA ANNUALLY</t>
  </si>
  <si>
    <t xml:space="preserve">KHILGAON'S LOSS IS </t>
  </si>
  <si>
    <t>TIMES HIGHER THAN MOHAKHALI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</si>
</sst>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888888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Times New Roman"/>
      <family val="1"/>
    </font>
    <font>
      <b/>
      <sz val="9"/>
      <name val="Arial"/>
      <charset val="1"/>
    </font>
    <font>
      <b/>
      <sz val="9"/>
      <name val="Arial"/>
      <family val="2"/>
    </font>
    <font>
      <b/>
      <sz val="12"/>
      <color rgb="FF3F3F76"/>
      <name val="Times New Roman"/>
      <family val="1"/>
    </font>
    <font>
      <b/>
      <sz val="11"/>
      <color rgb="FF006100"/>
      <name val="Times New Roman"/>
      <family val="1"/>
    </font>
    <font>
      <b/>
      <sz val="11"/>
      <color theme="1"/>
      <name val="Arial Black"/>
      <family val="2"/>
    </font>
    <font>
      <sz val="11"/>
      <color theme="1"/>
      <name val="ADLaM Display"/>
    </font>
    <font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FFFDE7"/>
        <bgColor rgb="FFFEF3EE"/>
      </patternFill>
    </fill>
    <fill>
      <patternFill patternType="solid">
        <fgColor rgb="FFF1F8EE"/>
        <bgColor rgb="FFFEF3EE"/>
      </patternFill>
    </fill>
    <fill>
      <patternFill patternType="solid">
        <fgColor rgb="FFFEF3EE"/>
        <bgColor rgb="FFFFFDE7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BDD7EE"/>
        <bgColor rgb="FFD9E1F2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5" fillId="7" borderId="0" applyNumberFormat="0" applyBorder="0" applyAlignment="0" applyProtection="0"/>
    <xf numFmtId="0" fontId="6" fillId="8" borderId="4" applyNumberFormat="0" applyAlignment="0" applyProtection="0"/>
  </cellStyleXfs>
  <cellXfs count="47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4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4" fontId="3" fillId="6" borderId="2" xfId="0" applyNumberFormat="1" applyFont="1" applyFill="1" applyBorder="1" applyAlignment="1">
      <alignment horizontal="right" vertical="center"/>
    </xf>
    <xf numFmtId="3" fontId="3" fillId="6" borderId="2" xfId="0" applyNumberFormat="1" applyFont="1" applyFill="1" applyBorder="1" applyAlignment="1">
      <alignment horizontal="right" vertical="center"/>
    </xf>
    <xf numFmtId="164" fontId="3" fillId="6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4" fontId="0" fillId="0" borderId="0" xfId="0" applyNumberFormat="1"/>
    <xf numFmtId="164" fontId="0" fillId="0" borderId="0" xfId="0" applyNumberFormat="1"/>
    <xf numFmtId="0" fontId="6" fillId="8" borderId="4" xfId="2"/>
    <xf numFmtId="0" fontId="8" fillId="9" borderId="8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7" borderId="4" xfId="1" applyFont="1" applyBorder="1"/>
    <xf numFmtId="2" fontId="11" fillId="7" borderId="4" xfId="1" applyNumberFormat="1" applyFont="1" applyBorder="1"/>
    <xf numFmtId="0" fontId="12" fillId="0" borderId="0" xfId="0" applyFont="1"/>
    <xf numFmtId="0" fontId="5" fillId="7" borderId="0" xfId="1" applyAlignment="1">
      <alignment horizontal="left" vertical="center"/>
    </xf>
    <xf numFmtId="4" fontId="5" fillId="7" borderId="0" xfId="1" applyNumberFormat="1"/>
    <xf numFmtId="0" fontId="5" fillId="7" borderId="0" xfId="1"/>
    <xf numFmtId="0" fontId="5" fillId="7" borderId="3" xfId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7" fillId="8" borderId="5" xfId="2" applyFont="1" applyBorder="1" applyAlignment="1">
      <alignment horizontal="center"/>
    </xf>
    <xf numFmtId="0" fontId="7" fillId="8" borderId="6" xfId="2" applyFont="1" applyBorder="1" applyAlignment="1">
      <alignment horizontal="center"/>
    </xf>
    <xf numFmtId="0" fontId="7" fillId="8" borderId="7" xfId="2" applyFont="1" applyBorder="1" applyAlignment="1">
      <alignment horizontal="center"/>
    </xf>
    <xf numFmtId="0" fontId="10" fillId="8" borderId="5" xfId="2" applyFont="1" applyBorder="1" applyAlignment="1">
      <alignment horizontal="center"/>
    </xf>
    <xf numFmtId="0" fontId="6" fillId="8" borderId="6" xfId="2" applyBorder="1" applyAlignment="1">
      <alignment horizontal="center"/>
    </xf>
    <xf numFmtId="0" fontId="6" fillId="8" borderId="7" xfId="2" applyBorder="1" applyAlignment="1">
      <alignment horizontal="center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hilgaon/Khilgaon_Traffic_Summary.xlsx" TargetMode="External"/><Relationship Id="rId2" Type="http://schemas.openxmlformats.org/officeDocument/2006/relationships/externalLinkPath" Target="file:///G:\Primary%20Analysis\Khilgaon\Khilgaon_Traffic_Summary.xlsx" TargetMode="External"/><Relationship Id="rId1" Type="http://schemas.openxmlformats.org/officeDocument/2006/relationships/externalLinkPath" Target="/Primary%20Analysis/Khilgaon/Khilgaon_Traffic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4-12-2025 Sunday"/>
      <sheetName val="17-12-2025 Wednesday"/>
      <sheetName val="19-12-2025 Friday"/>
      <sheetName val="FINAL COST"/>
    </sheetNames>
    <sheetDataSet>
      <sheetData sheetId="0"/>
      <sheetData sheetId="1"/>
      <sheetData sheetId="2"/>
      <sheetData sheetId="3">
        <row r="11">
          <cell r="J11">
            <v>107380785.98545456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opLeftCell="A7" workbookViewId="0">
      <selection activeCell="P2" sqref="P2:T15"/>
    </sheetView>
  </sheetViews>
  <sheetFormatPr defaultRowHeight="14.4" x14ac:dyDescent="0.3"/>
  <cols>
    <col min="1" max="1" width="18" customWidth="1"/>
    <col min="2" max="3" width="10" customWidth="1"/>
    <col min="9" max="9" width="10" customWidth="1"/>
    <col min="10" max="10" width="9" customWidth="1"/>
    <col min="12" max="12" width="8" customWidth="1"/>
    <col min="13" max="13" width="11" customWidth="1"/>
    <col min="14" max="14" width="10" customWidth="1"/>
    <col min="15" max="15" width="14" customWidth="1"/>
    <col min="16" max="16" width="9" customWidth="1"/>
    <col min="17" max="17" width="11" customWidth="1"/>
    <col min="19" max="19" width="10" customWidth="1"/>
    <col min="21" max="21" width="11" customWidth="1"/>
    <col min="22" max="22" width="10" customWidth="1"/>
    <col min="23" max="23" width="12" customWidth="1"/>
    <col min="24" max="24" width="11" customWidth="1"/>
    <col min="26" max="26" width="12" customWidth="1"/>
    <col min="27" max="27" width="14" customWidth="1"/>
  </cols>
  <sheetData>
    <row r="1" spans="1:27" ht="24" customHeight="1" x14ac:dyDescent="0.3">
      <c r="A1" s="39" t="s">
        <v>45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ht="51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8" customHeight="1" x14ac:dyDescent="0.3">
      <c r="A3" s="2" t="s">
        <v>27</v>
      </c>
      <c r="B3" s="3">
        <v>445.75</v>
      </c>
      <c r="C3" s="4">
        <v>160</v>
      </c>
      <c r="D3" s="4">
        <v>87</v>
      </c>
      <c r="E3" s="4">
        <v>51</v>
      </c>
      <c r="F3" s="4">
        <v>20</v>
      </c>
      <c r="G3" s="4">
        <v>3</v>
      </c>
      <c r="H3" s="4">
        <v>0</v>
      </c>
      <c r="I3" s="4">
        <v>321</v>
      </c>
      <c r="J3" s="4">
        <v>0</v>
      </c>
      <c r="K3" s="4">
        <v>5</v>
      </c>
      <c r="L3" s="4">
        <v>1</v>
      </c>
      <c r="M3" s="4">
        <v>6</v>
      </c>
      <c r="N3" s="5">
        <v>4.3795000000000002</v>
      </c>
      <c r="O3" s="6" t="s">
        <v>28</v>
      </c>
      <c r="P3" s="7">
        <v>30</v>
      </c>
      <c r="Q3" s="5">
        <v>0.21894</v>
      </c>
      <c r="R3" s="3">
        <v>241.47190000000001</v>
      </c>
      <c r="S3" s="5">
        <v>11.4513</v>
      </c>
      <c r="T3" s="5">
        <v>37.300699999999999</v>
      </c>
      <c r="U3" s="3">
        <v>58.593200000000003</v>
      </c>
      <c r="V3" s="3">
        <v>71.362499999999997</v>
      </c>
      <c r="W3" s="3">
        <v>0</v>
      </c>
      <c r="X3" s="3">
        <v>14.3041</v>
      </c>
      <c r="Y3" s="3">
        <v>229.1283</v>
      </c>
      <c r="Z3" s="3">
        <v>373.38810000000001</v>
      </c>
      <c r="AA3" s="3">
        <v>678.88739999999996</v>
      </c>
    </row>
    <row r="4" spans="1:27" ht="18" customHeight="1" x14ac:dyDescent="0.3">
      <c r="A4" s="2" t="s">
        <v>29</v>
      </c>
      <c r="B4" s="3">
        <v>395.25</v>
      </c>
      <c r="C4" s="4">
        <v>100</v>
      </c>
      <c r="D4" s="4">
        <v>103</v>
      </c>
      <c r="E4" s="4">
        <v>45</v>
      </c>
      <c r="F4" s="4">
        <v>15</v>
      </c>
      <c r="G4" s="4">
        <v>2</v>
      </c>
      <c r="H4" s="4">
        <v>0</v>
      </c>
      <c r="I4" s="4">
        <v>265</v>
      </c>
      <c r="J4" s="4">
        <v>0</v>
      </c>
      <c r="K4" s="4">
        <v>5</v>
      </c>
      <c r="L4" s="4">
        <v>1</v>
      </c>
      <c r="M4" s="4">
        <v>6</v>
      </c>
      <c r="N4" s="5">
        <v>5.4356999999999998</v>
      </c>
      <c r="O4" s="6" t="s">
        <v>30</v>
      </c>
      <c r="P4" s="7">
        <v>165</v>
      </c>
      <c r="Q4" s="5">
        <v>3.125604</v>
      </c>
      <c r="R4" s="3" t="s">
        <v>31</v>
      </c>
      <c r="S4" s="5">
        <v>33.199800000000003</v>
      </c>
      <c r="T4" s="5">
        <v>108.14279999999999</v>
      </c>
      <c r="U4" s="3">
        <v>42.891399999999997</v>
      </c>
      <c r="V4" s="3">
        <v>668.65899999999999</v>
      </c>
      <c r="W4" s="3">
        <v>0</v>
      </c>
      <c r="X4" s="3">
        <v>164.93559999999999</v>
      </c>
      <c r="Y4" s="3">
        <v>2807.1500999999998</v>
      </c>
      <c r="Z4" s="3">
        <v>3683.6361000000002</v>
      </c>
      <c r="AA4" s="3">
        <v>6697.5200999999997</v>
      </c>
    </row>
    <row r="5" spans="1:27" ht="18" customHeight="1" x14ac:dyDescent="0.3">
      <c r="A5" s="2" t="s">
        <v>32</v>
      </c>
      <c r="B5" s="3">
        <v>456.75</v>
      </c>
      <c r="C5" s="4">
        <v>160</v>
      </c>
      <c r="D5" s="4">
        <v>85</v>
      </c>
      <c r="E5" s="4">
        <v>59</v>
      </c>
      <c r="F5" s="4">
        <v>23</v>
      </c>
      <c r="G5" s="4">
        <v>3</v>
      </c>
      <c r="H5" s="4">
        <v>0</v>
      </c>
      <c r="I5" s="4">
        <v>330</v>
      </c>
      <c r="J5" s="4">
        <v>0</v>
      </c>
      <c r="K5" s="4">
        <v>5</v>
      </c>
      <c r="L5" s="4">
        <v>1</v>
      </c>
      <c r="M5" s="4">
        <v>6</v>
      </c>
      <c r="N5" s="5">
        <v>3.7831999999999999</v>
      </c>
      <c r="O5" s="6" t="s">
        <v>28</v>
      </c>
      <c r="P5" s="7">
        <v>195</v>
      </c>
      <c r="Q5" s="5">
        <v>1.3337049999999999</v>
      </c>
      <c r="R5" s="3">
        <v>1087.8150000000001</v>
      </c>
      <c r="S5" s="5">
        <v>70.3309</v>
      </c>
      <c r="T5" s="5">
        <v>229.0908</v>
      </c>
      <c r="U5" s="3">
        <v>78.326800000000006</v>
      </c>
      <c r="V5" s="3">
        <v>446.28710000000001</v>
      </c>
      <c r="W5" s="3">
        <v>0</v>
      </c>
      <c r="X5" s="3">
        <v>91.097300000000004</v>
      </c>
      <c r="Y5" s="3">
        <v>1156.4631999999999</v>
      </c>
      <c r="Z5" s="3">
        <v>1772.1744000000001</v>
      </c>
      <c r="AA5" s="3">
        <v>3222.1352999999999</v>
      </c>
    </row>
    <row r="6" spans="1:27" ht="18" customHeight="1" x14ac:dyDescent="0.3">
      <c r="A6" s="2" t="s">
        <v>33</v>
      </c>
      <c r="B6" s="3">
        <v>560.75</v>
      </c>
      <c r="C6" s="4">
        <v>211</v>
      </c>
      <c r="D6" s="4">
        <v>98</v>
      </c>
      <c r="E6" s="4">
        <v>91</v>
      </c>
      <c r="F6" s="4">
        <v>23</v>
      </c>
      <c r="G6" s="4">
        <v>4</v>
      </c>
      <c r="H6" s="4">
        <v>0</v>
      </c>
      <c r="I6" s="4">
        <v>427</v>
      </c>
      <c r="J6" s="4">
        <v>0</v>
      </c>
      <c r="K6" s="4">
        <v>9</v>
      </c>
      <c r="L6" s="4">
        <v>0</v>
      </c>
      <c r="M6" s="4">
        <v>9</v>
      </c>
      <c r="N6" s="5">
        <v>4.4565999999999999</v>
      </c>
      <c r="O6" s="6" t="s">
        <v>28</v>
      </c>
      <c r="P6" s="7">
        <v>0</v>
      </c>
      <c r="Q6" s="5">
        <v>0</v>
      </c>
      <c r="R6" s="3">
        <v>0</v>
      </c>
      <c r="S6" s="5">
        <v>0</v>
      </c>
      <c r="T6" s="5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ht="18" customHeight="1" x14ac:dyDescent="0.3">
      <c r="A7" s="8" t="s">
        <v>34</v>
      </c>
      <c r="B7" s="9">
        <v>377.25</v>
      </c>
      <c r="C7" s="10">
        <v>103</v>
      </c>
      <c r="D7" s="10">
        <v>69</v>
      </c>
      <c r="E7" s="10">
        <v>61</v>
      </c>
      <c r="F7" s="10">
        <v>17</v>
      </c>
      <c r="G7" s="10">
        <v>11</v>
      </c>
      <c r="H7" s="10">
        <v>0</v>
      </c>
      <c r="I7" s="10">
        <v>261</v>
      </c>
      <c r="J7" s="10">
        <v>0</v>
      </c>
      <c r="K7" s="10">
        <v>5</v>
      </c>
      <c r="L7" s="10">
        <v>2</v>
      </c>
      <c r="M7" s="10">
        <v>7</v>
      </c>
      <c r="N7" s="11">
        <v>4.4711999999999996</v>
      </c>
      <c r="O7" s="12" t="s">
        <v>28</v>
      </c>
      <c r="P7" s="13">
        <v>120</v>
      </c>
      <c r="Q7" s="11">
        <v>0.76479799999999998</v>
      </c>
      <c r="R7" s="9">
        <v>510.20049999999998</v>
      </c>
      <c r="S7" s="11">
        <v>35.451000000000001</v>
      </c>
      <c r="T7" s="11">
        <v>115.4756</v>
      </c>
      <c r="U7" s="9">
        <v>73.45</v>
      </c>
      <c r="V7" s="9">
        <v>188.40209999999999</v>
      </c>
      <c r="W7" s="9">
        <v>0</v>
      </c>
      <c r="X7" s="9">
        <v>48.055</v>
      </c>
      <c r="Y7" s="9">
        <v>534.8768</v>
      </c>
      <c r="Z7" s="9">
        <v>844.78390000000002</v>
      </c>
      <c r="AA7" s="9">
        <v>1535.9707000000001</v>
      </c>
    </row>
    <row r="8" spans="1:27" ht="18" customHeight="1" x14ac:dyDescent="0.3">
      <c r="A8" s="8" t="s">
        <v>35</v>
      </c>
      <c r="B8" s="9">
        <v>351.5</v>
      </c>
      <c r="C8" s="10">
        <v>109</v>
      </c>
      <c r="D8" s="10">
        <v>57</v>
      </c>
      <c r="E8" s="10">
        <v>82</v>
      </c>
      <c r="F8" s="10">
        <v>14</v>
      </c>
      <c r="G8" s="10">
        <v>6</v>
      </c>
      <c r="H8" s="10">
        <v>0</v>
      </c>
      <c r="I8" s="10">
        <v>268</v>
      </c>
      <c r="J8" s="10">
        <v>0</v>
      </c>
      <c r="K8" s="10">
        <v>10</v>
      </c>
      <c r="L8" s="10">
        <v>1</v>
      </c>
      <c r="M8" s="10">
        <v>11</v>
      </c>
      <c r="N8" s="11">
        <v>4.7849000000000004</v>
      </c>
      <c r="O8" s="12" t="s">
        <v>28</v>
      </c>
      <c r="P8" s="13">
        <v>45</v>
      </c>
      <c r="Q8" s="11">
        <v>0.19570699999999999</v>
      </c>
      <c r="R8" s="14">
        <v>94.119699999999995</v>
      </c>
      <c r="S8" s="11">
        <v>10.681900000000001</v>
      </c>
      <c r="T8" s="11">
        <v>34.794400000000003</v>
      </c>
      <c r="U8" s="9">
        <v>49.155299999999997</v>
      </c>
      <c r="V8" s="9">
        <v>48.926000000000002</v>
      </c>
      <c r="W8" s="9">
        <v>0</v>
      </c>
      <c r="X8" s="9">
        <v>10.1945</v>
      </c>
      <c r="Y8" s="9">
        <v>157.20580000000001</v>
      </c>
      <c r="Z8" s="9">
        <v>265.48149999999998</v>
      </c>
      <c r="AA8" s="9">
        <v>482.69369999999998</v>
      </c>
    </row>
    <row r="9" spans="1:27" ht="18" customHeight="1" x14ac:dyDescent="0.3">
      <c r="A9" s="8" t="s">
        <v>36</v>
      </c>
      <c r="B9" s="9">
        <v>427.5</v>
      </c>
      <c r="C9" s="10">
        <v>154</v>
      </c>
      <c r="D9" s="10">
        <v>70</v>
      </c>
      <c r="E9" s="10">
        <v>46</v>
      </c>
      <c r="F9" s="10">
        <v>27</v>
      </c>
      <c r="G9" s="10">
        <v>5</v>
      </c>
      <c r="H9" s="10">
        <v>0</v>
      </c>
      <c r="I9" s="10">
        <v>302</v>
      </c>
      <c r="J9" s="10">
        <v>0</v>
      </c>
      <c r="K9" s="10">
        <v>6</v>
      </c>
      <c r="L9" s="10">
        <v>0</v>
      </c>
      <c r="M9" s="10">
        <v>6</v>
      </c>
      <c r="N9" s="11">
        <v>3.8759000000000001</v>
      </c>
      <c r="O9" s="12" t="s">
        <v>28</v>
      </c>
      <c r="P9" s="13">
        <v>165</v>
      </c>
      <c r="Q9" s="11">
        <v>1.0540830000000001</v>
      </c>
      <c r="R9" s="9">
        <v>706.95899999999995</v>
      </c>
      <c r="S9" s="11">
        <v>51.391599999999997</v>
      </c>
      <c r="T9" s="11">
        <v>167.39920000000001</v>
      </c>
      <c r="U9" s="9">
        <v>54.7911</v>
      </c>
      <c r="V9" s="9">
        <v>348.15600000000001</v>
      </c>
      <c r="W9" s="9">
        <v>0</v>
      </c>
      <c r="X9" s="9">
        <v>75.006399999999999</v>
      </c>
      <c r="Y9" s="9">
        <v>946.726</v>
      </c>
      <c r="Z9" s="9">
        <v>1424.6795999999999</v>
      </c>
      <c r="AA9" s="9">
        <v>2590.3265000000001</v>
      </c>
    </row>
    <row r="10" spans="1:27" ht="18" customHeight="1" x14ac:dyDescent="0.3">
      <c r="A10" s="8" t="s">
        <v>37</v>
      </c>
      <c r="B10" s="9">
        <v>471</v>
      </c>
      <c r="C10" s="10">
        <v>155</v>
      </c>
      <c r="D10" s="10">
        <v>72</v>
      </c>
      <c r="E10" s="10">
        <v>88</v>
      </c>
      <c r="F10" s="10">
        <v>24</v>
      </c>
      <c r="G10" s="10">
        <v>9</v>
      </c>
      <c r="H10" s="10">
        <v>0</v>
      </c>
      <c r="I10" s="10">
        <v>348</v>
      </c>
      <c r="J10" s="10">
        <v>0</v>
      </c>
      <c r="K10" s="10">
        <v>6</v>
      </c>
      <c r="L10" s="10">
        <v>2</v>
      </c>
      <c r="M10" s="10">
        <v>8</v>
      </c>
      <c r="N10" s="11">
        <v>4.8186999999999998</v>
      </c>
      <c r="O10" s="12" t="s">
        <v>28</v>
      </c>
      <c r="P10" s="13">
        <v>30</v>
      </c>
      <c r="Q10" s="11">
        <v>0.24187600000000001</v>
      </c>
      <c r="R10" s="9">
        <v>923.19349999999997</v>
      </c>
      <c r="S10" s="11">
        <v>13.4831</v>
      </c>
      <c r="T10" s="11">
        <v>43.918999999999997</v>
      </c>
      <c r="U10" s="9">
        <v>55.3917</v>
      </c>
      <c r="V10" s="9">
        <v>85.084100000000007</v>
      </c>
      <c r="W10" s="9">
        <v>0</v>
      </c>
      <c r="X10" s="9">
        <v>18.410799999999998</v>
      </c>
      <c r="Y10" s="9">
        <v>268.1728</v>
      </c>
      <c r="Z10" s="9">
        <v>427.05939999999998</v>
      </c>
      <c r="AA10" s="9">
        <v>776.47159999999997</v>
      </c>
    </row>
    <row r="11" spans="1:27" ht="18" customHeight="1" x14ac:dyDescent="0.3">
      <c r="A11" s="15" t="s">
        <v>38</v>
      </c>
      <c r="B11" s="16">
        <v>473.25</v>
      </c>
      <c r="C11" s="17">
        <v>151</v>
      </c>
      <c r="D11" s="17">
        <v>74</v>
      </c>
      <c r="E11" s="17">
        <v>103</v>
      </c>
      <c r="F11" s="17">
        <v>20</v>
      </c>
      <c r="G11" s="17">
        <v>12</v>
      </c>
      <c r="H11" s="17">
        <v>0</v>
      </c>
      <c r="I11" s="17">
        <v>360</v>
      </c>
      <c r="J11" s="17">
        <v>0</v>
      </c>
      <c r="K11" s="17">
        <v>2</v>
      </c>
      <c r="L11" s="17">
        <v>0</v>
      </c>
      <c r="M11" s="17">
        <v>2</v>
      </c>
      <c r="N11" s="18">
        <v>4.2679999999999998</v>
      </c>
      <c r="O11" s="19" t="s">
        <v>28</v>
      </c>
      <c r="P11" s="20">
        <v>60</v>
      </c>
      <c r="Q11" s="18">
        <v>0.425234</v>
      </c>
      <c r="R11" s="16">
        <v>401.2543</v>
      </c>
      <c r="S11" s="18">
        <v>24.781600000000001</v>
      </c>
      <c r="T11" s="18">
        <v>80.721699999999998</v>
      </c>
      <c r="U11" s="16">
        <v>90.478099999999998</v>
      </c>
      <c r="V11" s="16">
        <v>148.8612</v>
      </c>
      <c r="W11" s="16">
        <v>0</v>
      </c>
      <c r="X11" s="16">
        <v>32.669800000000002</v>
      </c>
      <c r="Y11" s="16">
        <v>378.04309999999998</v>
      </c>
      <c r="Z11" s="16">
        <v>650.05200000000002</v>
      </c>
      <c r="AA11" s="16">
        <v>1181.9128000000001</v>
      </c>
    </row>
    <row r="12" spans="1:27" ht="18" customHeight="1" x14ac:dyDescent="0.3">
      <c r="A12" s="15" t="s">
        <v>39</v>
      </c>
      <c r="B12" s="16">
        <v>434.75</v>
      </c>
      <c r="C12" s="17">
        <v>179</v>
      </c>
      <c r="D12" s="17">
        <v>48</v>
      </c>
      <c r="E12" s="17">
        <v>73</v>
      </c>
      <c r="F12" s="17">
        <v>28</v>
      </c>
      <c r="G12" s="17">
        <v>7</v>
      </c>
      <c r="H12" s="17">
        <v>0</v>
      </c>
      <c r="I12" s="17">
        <v>335</v>
      </c>
      <c r="J12" s="17">
        <v>0</v>
      </c>
      <c r="K12" s="17">
        <v>0</v>
      </c>
      <c r="L12" s="17">
        <v>0</v>
      </c>
      <c r="M12" s="17">
        <v>0</v>
      </c>
      <c r="N12" s="18">
        <v>4.0595999999999997</v>
      </c>
      <c r="O12" s="19" t="s">
        <v>28</v>
      </c>
      <c r="P12" s="20">
        <v>60</v>
      </c>
      <c r="Q12" s="18">
        <v>0.46321800000000002</v>
      </c>
      <c r="R12" s="21">
        <v>815.61760000000004</v>
      </c>
      <c r="S12" s="18">
        <v>24.279399999999999</v>
      </c>
      <c r="T12" s="18">
        <v>79.086200000000005</v>
      </c>
      <c r="U12" s="16">
        <v>84.739199999999997</v>
      </c>
      <c r="V12" s="16">
        <v>179.85069999999999</v>
      </c>
      <c r="W12" s="16">
        <v>0</v>
      </c>
      <c r="X12" s="16">
        <v>35.120800000000003</v>
      </c>
      <c r="Y12" s="16">
        <v>511.827</v>
      </c>
      <c r="Z12" s="16">
        <v>811.53769999999997</v>
      </c>
      <c r="AA12" s="16">
        <v>1475.5231000000001</v>
      </c>
    </row>
    <row r="13" spans="1:27" ht="18" customHeight="1" x14ac:dyDescent="0.3">
      <c r="A13" s="15" t="s">
        <v>40</v>
      </c>
      <c r="B13" s="16">
        <v>302.25</v>
      </c>
      <c r="C13" s="17">
        <v>116</v>
      </c>
      <c r="D13" s="17">
        <v>49</v>
      </c>
      <c r="E13" s="17">
        <v>41</v>
      </c>
      <c r="F13" s="17">
        <v>13</v>
      </c>
      <c r="G13" s="17">
        <v>6</v>
      </c>
      <c r="H13" s="17">
        <v>0</v>
      </c>
      <c r="I13" s="17">
        <v>225</v>
      </c>
      <c r="J13" s="17">
        <v>0</v>
      </c>
      <c r="K13" s="17">
        <v>1</v>
      </c>
      <c r="L13" s="17">
        <v>0</v>
      </c>
      <c r="M13" s="17">
        <v>1</v>
      </c>
      <c r="N13" s="18">
        <v>4.6296999999999997</v>
      </c>
      <c r="O13" s="19" t="s">
        <v>30</v>
      </c>
      <c r="P13" s="20">
        <v>120</v>
      </c>
      <c r="Q13" s="18">
        <v>1.1281699999999999</v>
      </c>
      <c r="R13" s="21" t="s">
        <v>31</v>
      </c>
      <c r="S13" s="18">
        <v>42.173400000000001</v>
      </c>
      <c r="T13" s="18">
        <v>137.37270000000001</v>
      </c>
      <c r="U13" s="16">
        <v>34.211399999999998</v>
      </c>
      <c r="V13" s="16">
        <v>273.74340000000001</v>
      </c>
      <c r="W13" s="16">
        <v>0</v>
      </c>
      <c r="X13" s="16">
        <v>55.342700000000001</v>
      </c>
      <c r="Y13" s="16">
        <v>921.01469999999995</v>
      </c>
      <c r="Z13" s="16">
        <v>1284.3121000000001</v>
      </c>
      <c r="AA13" s="16">
        <v>2335.1129000000001</v>
      </c>
    </row>
    <row r="14" spans="1:27" ht="18" customHeight="1" x14ac:dyDescent="0.3">
      <c r="A14" s="15" t="s">
        <v>41</v>
      </c>
      <c r="B14" s="16">
        <v>304.75</v>
      </c>
      <c r="C14" s="17">
        <v>142</v>
      </c>
      <c r="D14" s="17">
        <v>45</v>
      </c>
      <c r="E14" s="17">
        <v>41</v>
      </c>
      <c r="F14" s="17">
        <v>13</v>
      </c>
      <c r="G14" s="17">
        <v>1</v>
      </c>
      <c r="H14" s="17">
        <v>0</v>
      </c>
      <c r="I14" s="17">
        <v>242</v>
      </c>
      <c r="J14" s="17">
        <v>0</v>
      </c>
      <c r="K14" s="17">
        <v>0</v>
      </c>
      <c r="L14" s="17">
        <v>0</v>
      </c>
      <c r="M14" s="17">
        <v>0</v>
      </c>
      <c r="N14" s="18">
        <v>4.3087</v>
      </c>
      <c r="O14" s="19" t="s">
        <v>30</v>
      </c>
      <c r="P14" s="20">
        <v>75</v>
      </c>
      <c r="Q14" s="18">
        <v>0.73192599999999997</v>
      </c>
      <c r="R14" s="16" t="s">
        <v>31</v>
      </c>
      <c r="S14" s="18">
        <v>27.896799999999999</v>
      </c>
      <c r="T14" s="18">
        <v>90.869</v>
      </c>
      <c r="U14" s="16">
        <v>46.499200000000002</v>
      </c>
      <c r="V14" s="16">
        <v>201.87020000000001</v>
      </c>
      <c r="W14" s="16">
        <v>0</v>
      </c>
      <c r="X14" s="16">
        <v>32.822200000000002</v>
      </c>
      <c r="Y14" s="16">
        <v>604.38720000000001</v>
      </c>
      <c r="Z14" s="16">
        <v>885.57889999999998</v>
      </c>
      <c r="AA14" s="16">
        <v>1610.1434999999999</v>
      </c>
    </row>
    <row r="15" spans="1:27" x14ac:dyDescent="0.3">
      <c r="A15" s="23" t="s">
        <v>50</v>
      </c>
      <c r="B15" s="24">
        <f t="shared" ref="B15:N15" si="0">SUM(B3:B14)</f>
        <v>5000.75</v>
      </c>
      <c r="C15" s="24">
        <f t="shared" si="0"/>
        <v>1740</v>
      </c>
      <c r="D15" s="24">
        <f t="shared" si="0"/>
        <v>857</v>
      </c>
      <c r="E15" s="24">
        <f t="shared" si="0"/>
        <v>781</v>
      </c>
      <c r="F15" s="24">
        <f t="shared" si="0"/>
        <v>237</v>
      </c>
      <c r="G15" s="24">
        <f t="shared" si="0"/>
        <v>69</v>
      </c>
      <c r="H15" s="24">
        <f t="shared" si="0"/>
        <v>0</v>
      </c>
      <c r="I15" s="24">
        <f t="shared" si="0"/>
        <v>3684</v>
      </c>
      <c r="J15" s="24">
        <f t="shared" si="0"/>
        <v>0</v>
      </c>
      <c r="K15" s="24">
        <f t="shared" si="0"/>
        <v>54</v>
      </c>
      <c r="L15" s="24">
        <f t="shared" si="0"/>
        <v>8</v>
      </c>
      <c r="M15" s="24">
        <f t="shared" si="0"/>
        <v>62</v>
      </c>
      <c r="N15" s="24">
        <f t="shared" si="0"/>
        <v>53.27170000000001</v>
      </c>
      <c r="O15" s="24"/>
      <c r="P15" s="24">
        <f t="shared" ref="P15:AA15" si="1">SUM(P3:P14)</f>
        <v>1065</v>
      </c>
      <c r="Q15" s="24">
        <f t="shared" si="1"/>
        <v>9.6832609999999999</v>
      </c>
      <c r="R15" s="24">
        <f t="shared" si="1"/>
        <v>4780.6314999999995</v>
      </c>
      <c r="S15" s="24">
        <f t="shared" si="1"/>
        <v>345.12080000000003</v>
      </c>
      <c r="T15" s="24">
        <f t="shared" si="1"/>
        <v>1124.1721</v>
      </c>
      <c r="U15" s="24">
        <f t="shared" si="1"/>
        <v>668.52740000000006</v>
      </c>
      <c r="V15" s="24">
        <f t="shared" si="1"/>
        <v>2661.2022999999995</v>
      </c>
      <c r="W15" s="24">
        <f t="shared" si="1"/>
        <v>0</v>
      </c>
      <c r="X15" s="24">
        <f t="shared" si="1"/>
        <v>577.95920000000001</v>
      </c>
      <c r="Y15" s="24">
        <f t="shared" si="1"/>
        <v>8514.994999999999</v>
      </c>
      <c r="Z15" s="24">
        <f t="shared" si="1"/>
        <v>12422.683700000001</v>
      </c>
      <c r="AA15" s="24">
        <f t="shared" si="1"/>
        <v>22586.6976</v>
      </c>
    </row>
    <row r="16" spans="1:27" x14ac:dyDescent="0.3">
      <c r="A16" s="22" t="s">
        <v>51</v>
      </c>
      <c r="B16" s="24">
        <f>B15/3</f>
        <v>1666.9166666666667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>
        <f t="shared" ref="U16:Z16" si="2">U15/3</f>
        <v>222.8424666666667</v>
      </c>
      <c r="V16" s="24">
        <f t="shared" si="2"/>
        <v>887.06743333333316</v>
      </c>
      <c r="W16" s="24">
        <f t="shared" si="2"/>
        <v>0</v>
      </c>
      <c r="X16" s="24">
        <f t="shared" si="2"/>
        <v>192.65306666666666</v>
      </c>
      <c r="Y16" s="24">
        <f t="shared" si="2"/>
        <v>2838.3316666666665</v>
      </c>
      <c r="Z16" s="24">
        <f t="shared" si="2"/>
        <v>4140.8945666666668</v>
      </c>
      <c r="AA16" s="24">
        <f>AA15/3</f>
        <v>7528.8991999999998</v>
      </c>
    </row>
    <row r="17" spans="1:27" s="35" customFormat="1" x14ac:dyDescent="0.3">
      <c r="A17" s="33" t="s">
        <v>52</v>
      </c>
      <c r="B17" s="34">
        <f>B16*12</f>
        <v>20003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>
        <f t="shared" ref="U17:Z17" si="3">U16*12</f>
        <v>2674.1096000000002</v>
      </c>
      <c r="V17" s="34">
        <f t="shared" si="3"/>
        <v>10644.809199999998</v>
      </c>
      <c r="W17" s="34">
        <f t="shared" si="3"/>
        <v>0</v>
      </c>
      <c r="X17" s="34">
        <f t="shared" si="3"/>
        <v>2311.8368</v>
      </c>
      <c r="Y17" s="34">
        <f t="shared" si="3"/>
        <v>34059.979999999996</v>
      </c>
      <c r="Z17" s="34">
        <f t="shared" si="3"/>
        <v>49690.734800000006</v>
      </c>
      <c r="AA17" s="34">
        <f>AA16*12</f>
        <v>90346.790399999998</v>
      </c>
    </row>
    <row r="18" spans="1:27" x14ac:dyDescent="0.3">
      <c r="A18" s="22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x14ac:dyDescent="0.3">
      <c r="A19" s="22" t="s">
        <v>46</v>
      </c>
      <c r="B19">
        <f>(SUM(B3:B14)/3)/(MAX(B3:B14)*4)</f>
        <v>0.74316391737256648</v>
      </c>
      <c r="D19" t="s">
        <v>47</v>
      </c>
      <c r="E19" t="s">
        <v>48</v>
      </c>
    </row>
    <row r="21" spans="1:27" x14ac:dyDescent="0.3">
      <c r="A21" s="22" t="s">
        <v>53</v>
      </c>
      <c r="B21">
        <f>(1200*20)/12</f>
        <v>2000</v>
      </c>
    </row>
    <row r="22" spans="1:27" x14ac:dyDescent="0.3">
      <c r="A22" s="22" t="s">
        <v>54</v>
      </c>
      <c r="B22">
        <f>B16/B21</f>
        <v>0.83345833333333341</v>
      </c>
      <c r="D22" t="s">
        <v>47</v>
      </c>
      <c r="E22" t="s">
        <v>55</v>
      </c>
    </row>
    <row r="24" spans="1:27" x14ac:dyDescent="0.3">
      <c r="A24" s="22" t="s">
        <v>56</v>
      </c>
      <c r="B24" s="25">
        <f>AVERAGE(N3:N14)</f>
        <v>4.4393083333333339</v>
      </c>
      <c r="D24" t="s">
        <v>47</v>
      </c>
      <c r="E24" t="s">
        <v>57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workbookViewId="0">
      <selection activeCell="N3" sqref="N3:T15"/>
    </sheetView>
  </sheetViews>
  <sheetFormatPr defaultRowHeight="14.4" x14ac:dyDescent="0.3"/>
  <cols>
    <col min="1" max="1" width="18" customWidth="1"/>
    <col min="2" max="2" width="10" customWidth="1"/>
    <col min="3" max="3" width="8" customWidth="1"/>
    <col min="9" max="9" width="10" customWidth="1"/>
    <col min="10" max="10" width="9" customWidth="1"/>
    <col min="12" max="12" width="8" customWidth="1"/>
    <col min="13" max="13" width="11" customWidth="1"/>
    <col min="14" max="14" width="10" customWidth="1"/>
    <col min="15" max="15" width="14" customWidth="1"/>
    <col min="16" max="16" width="9" customWidth="1"/>
    <col min="17" max="17" width="11" customWidth="1"/>
    <col min="19" max="19" width="10" customWidth="1"/>
    <col min="21" max="21" width="11" customWidth="1"/>
    <col min="22" max="22" width="10" customWidth="1"/>
    <col min="23" max="23" width="12" customWidth="1"/>
    <col min="24" max="24" width="11" customWidth="1"/>
    <col min="26" max="26" width="12" customWidth="1"/>
    <col min="27" max="27" width="14" customWidth="1"/>
  </cols>
  <sheetData>
    <row r="1" spans="1:27" ht="24" customHeight="1" x14ac:dyDescent="0.3">
      <c r="A1" s="39" t="s">
        <v>44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ht="51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8" customHeight="1" x14ac:dyDescent="0.3">
      <c r="A3" s="2" t="s">
        <v>27</v>
      </c>
      <c r="B3" s="3">
        <v>396.5</v>
      </c>
      <c r="C3" s="4">
        <v>150</v>
      </c>
      <c r="D3" s="4">
        <v>67</v>
      </c>
      <c r="E3" s="4">
        <v>58</v>
      </c>
      <c r="F3" s="4">
        <v>16</v>
      </c>
      <c r="G3" s="4">
        <v>6</v>
      </c>
      <c r="H3" s="4">
        <v>0</v>
      </c>
      <c r="I3" s="4">
        <v>297</v>
      </c>
      <c r="J3" s="4">
        <v>0</v>
      </c>
      <c r="K3" s="4">
        <v>6</v>
      </c>
      <c r="L3" s="4">
        <v>0</v>
      </c>
      <c r="M3" s="4">
        <v>6</v>
      </c>
      <c r="N3" s="5">
        <v>4.6040000000000001</v>
      </c>
      <c r="O3" s="6" t="s">
        <v>28</v>
      </c>
      <c r="P3" s="7">
        <v>135</v>
      </c>
      <c r="Q3" s="5">
        <v>0.85380500000000004</v>
      </c>
      <c r="R3" s="3">
        <v>560.02070000000003</v>
      </c>
      <c r="S3" s="5">
        <v>44.2303</v>
      </c>
      <c r="T3" s="5">
        <v>144.07249999999999</v>
      </c>
      <c r="U3" s="3">
        <v>71.819599999999994</v>
      </c>
      <c r="V3" s="3">
        <v>265.55079999999998</v>
      </c>
      <c r="W3" s="3">
        <v>0</v>
      </c>
      <c r="X3" s="3">
        <v>52.005200000000002</v>
      </c>
      <c r="Y3" s="3">
        <v>840.44860000000006</v>
      </c>
      <c r="Z3" s="3">
        <v>1229.8242</v>
      </c>
      <c r="AA3" s="3">
        <v>2236.0439999999999</v>
      </c>
    </row>
    <row r="4" spans="1:27" ht="18" customHeight="1" x14ac:dyDescent="0.3">
      <c r="A4" s="2" t="s">
        <v>29</v>
      </c>
      <c r="B4" s="3">
        <v>401.25</v>
      </c>
      <c r="C4" s="4">
        <v>132</v>
      </c>
      <c r="D4" s="4">
        <v>73</v>
      </c>
      <c r="E4" s="4">
        <v>65</v>
      </c>
      <c r="F4" s="4">
        <v>14</v>
      </c>
      <c r="G4" s="4">
        <v>10</v>
      </c>
      <c r="H4" s="4">
        <v>0</v>
      </c>
      <c r="I4" s="4">
        <v>294</v>
      </c>
      <c r="J4" s="4">
        <v>0</v>
      </c>
      <c r="K4" s="4">
        <v>5</v>
      </c>
      <c r="L4" s="4">
        <v>0</v>
      </c>
      <c r="M4" s="4">
        <v>5</v>
      </c>
      <c r="N4" s="5">
        <v>5.4916</v>
      </c>
      <c r="O4" s="6" t="s">
        <v>28</v>
      </c>
      <c r="P4" s="7">
        <v>120</v>
      </c>
      <c r="Q4" s="5">
        <v>1.7449079999999999</v>
      </c>
      <c r="R4" s="3">
        <v>470.41770000000002</v>
      </c>
      <c r="S4" s="5">
        <v>20.4481</v>
      </c>
      <c r="T4" s="5">
        <v>66.606300000000005</v>
      </c>
      <c r="U4" s="3">
        <v>64.614199999999997</v>
      </c>
      <c r="V4" s="3">
        <v>503.3175</v>
      </c>
      <c r="W4" s="3">
        <v>0</v>
      </c>
      <c r="X4" s="3">
        <v>110.7212</v>
      </c>
      <c r="Y4" s="3">
        <v>1875.0091</v>
      </c>
      <c r="Z4" s="3">
        <v>2553.6619999999998</v>
      </c>
      <c r="AA4" s="3">
        <v>4643.0218999999997</v>
      </c>
    </row>
    <row r="5" spans="1:27" ht="18" customHeight="1" x14ac:dyDescent="0.3">
      <c r="A5" s="2" t="s">
        <v>42</v>
      </c>
      <c r="B5" s="3">
        <v>514.5</v>
      </c>
      <c r="C5" s="4">
        <v>176</v>
      </c>
      <c r="D5" s="4">
        <v>89</v>
      </c>
      <c r="E5" s="4">
        <v>76</v>
      </c>
      <c r="F5" s="4">
        <v>26</v>
      </c>
      <c r="G5" s="4">
        <v>7</v>
      </c>
      <c r="H5" s="4">
        <v>0</v>
      </c>
      <c r="I5" s="4">
        <v>374</v>
      </c>
      <c r="J5" s="4">
        <v>0</v>
      </c>
      <c r="K5" s="4">
        <v>5</v>
      </c>
      <c r="L5" s="4">
        <v>1</v>
      </c>
      <c r="M5" s="4">
        <v>6</v>
      </c>
      <c r="N5" s="5">
        <v>4.4444999999999997</v>
      </c>
      <c r="O5" s="6" t="s">
        <v>28</v>
      </c>
      <c r="P5" s="7">
        <v>75</v>
      </c>
      <c r="Q5" s="5">
        <v>0.92254899999999995</v>
      </c>
      <c r="R5" s="3">
        <v>143.15100000000001</v>
      </c>
      <c r="S5" s="5">
        <v>13.796799999999999</v>
      </c>
      <c r="T5" s="5">
        <v>44.940800000000003</v>
      </c>
      <c r="U5" s="3">
        <v>71.7804</v>
      </c>
      <c r="V5" s="3">
        <v>351.54289999999997</v>
      </c>
      <c r="W5" s="3">
        <v>0</v>
      </c>
      <c r="X5" s="3">
        <v>74.586600000000004</v>
      </c>
      <c r="Y5" s="3">
        <v>1046.0581999999999</v>
      </c>
      <c r="Z5" s="3">
        <v>1543.9680000000001</v>
      </c>
      <c r="AA5" s="3">
        <v>2807.2145999999998</v>
      </c>
    </row>
    <row r="6" spans="1:27" ht="18" customHeight="1" x14ac:dyDescent="0.3">
      <c r="A6" s="2" t="s">
        <v>33</v>
      </c>
      <c r="B6" s="3">
        <v>568.5</v>
      </c>
      <c r="C6" s="4">
        <v>187</v>
      </c>
      <c r="D6" s="4">
        <v>109</v>
      </c>
      <c r="E6" s="4">
        <v>82</v>
      </c>
      <c r="F6" s="4">
        <v>27</v>
      </c>
      <c r="G6" s="4">
        <v>5</v>
      </c>
      <c r="H6" s="4">
        <v>0</v>
      </c>
      <c r="I6" s="4">
        <v>410</v>
      </c>
      <c r="J6" s="4">
        <v>0</v>
      </c>
      <c r="K6" s="4">
        <v>12</v>
      </c>
      <c r="L6" s="4">
        <v>0</v>
      </c>
      <c r="M6" s="4">
        <v>12</v>
      </c>
      <c r="N6" s="5">
        <v>4.4494999999999996</v>
      </c>
      <c r="O6" s="6" t="s">
        <v>28</v>
      </c>
      <c r="P6" s="7">
        <v>75</v>
      </c>
      <c r="Q6" s="5">
        <v>0.531528</v>
      </c>
      <c r="R6" s="3">
        <v>501.48719999999997</v>
      </c>
      <c r="S6" s="5">
        <v>35.085999999999999</v>
      </c>
      <c r="T6" s="5">
        <v>114.2867</v>
      </c>
      <c r="U6" s="3">
        <v>63.424599999999998</v>
      </c>
      <c r="V6" s="3">
        <v>212.40539999999999</v>
      </c>
      <c r="W6" s="3">
        <v>0</v>
      </c>
      <c r="X6" s="3">
        <v>44.843899999999998</v>
      </c>
      <c r="Y6" s="3">
        <v>628.00930000000005</v>
      </c>
      <c r="Z6" s="3">
        <v>948.68309999999997</v>
      </c>
      <c r="AA6" s="3">
        <v>1724.8784000000001</v>
      </c>
    </row>
    <row r="7" spans="1:27" ht="18" customHeight="1" x14ac:dyDescent="0.3">
      <c r="A7" s="8" t="s">
        <v>34</v>
      </c>
      <c r="B7" s="9">
        <v>343.5</v>
      </c>
      <c r="C7" s="10">
        <v>88</v>
      </c>
      <c r="D7" s="10">
        <v>60</v>
      </c>
      <c r="E7" s="10">
        <v>80</v>
      </c>
      <c r="F7" s="10">
        <v>14</v>
      </c>
      <c r="G7" s="10">
        <v>10</v>
      </c>
      <c r="H7" s="10">
        <v>0</v>
      </c>
      <c r="I7" s="10">
        <v>252</v>
      </c>
      <c r="J7" s="10">
        <v>0</v>
      </c>
      <c r="K7" s="10">
        <v>7</v>
      </c>
      <c r="L7" s="10">
        <v>0</v>
      </c>
      <c r="M7" s="10">
        <v>7</v>
      </c>
      <c r="N7" s="11">
        <v>5.5853000000000002</v>
      </c>
      <c r="O7" s="12" t="s">
        <v>28</v>
      </c>
      <c r="P7" s="13">
        <v>0</v>
      </c>
      <c r="Q7" s="11">
        <v>0</v>
      </c>
      <c r="R7" s="9">
        <v>0</v>
      </c>
      <c r="S7" s="11">
        <v>0</v>
      </c>
      <c r="T7" s="11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</row>
    <row r="8" spans="1:27" ht="18" customHeight="1" x14ac:dyDescent="0.3">
      <c r="A8" s="8" t="s">
        <v>35</v>
      </c>
      <c r="B8" s="9">
        <v>464.75</v>
      </c>
      <c r="C8" s="10">
        <v>166</v>
      </c>
      <c r="D8" s="10">
        <v>78</v>
      </c>
      <c r="E8" s="10">
        <v>51</v>
      </c>
      <c r="F8" s="10">
        <v>26</v>
      </c>
      <c r="G8" s="10">
        <v>8</v>
      </c>
      <c r="H8" s="10">
        <v>0</v>
      </c>
      <c r="I8" s="10">
        <v>329</v>
      </c>
      <c r="J8" s="10">
        <v>0</v>
      </c>
      <c r="K8" s="10">
        <v>1</v>
      </c>
      <c r="L8" s="10">
        <v>1</v>
      </c>
      <c r="M8" s="10">
        <v>2</v>
      </c>
      <c r="N8" s="11">
        <v>2.9457</v>
      </c>
      <c r="O8" s="12" t="s">
        <v>30</v>
      </c>
      <c r="P8" s="13">
        <v>60</v>
      </c>
      <c r="Q8" s="11">
        <v>0.50571999999999995</v>
      </c>
      <c r="R8" s="14" t="s">
        <v>31</v>
      </c>
      <c r="S8" s="11">
        <v>26.230399999999999</v>
      </c>
      <c r="T8" s="11">
        <v>85.440899999999999</v>
      </c>
      <c r="U8" s="9">
        <v>96.214600000000004</v>
      </c>
      <c r="V8" s="9">
        <v>180.08840000000001</v>
      </c>
      <c r="W8" s="9">
        <v>0</v>
      </c>
      <c r="X8" s="9">
        <v>39.3919</v>
      </c>
      <c r="Y8" s="9">
        <v>372.33510000000001</v>
      </c>
      <c r="Z8" s="9">
        <v>688.03</v>
      </c>
      <c r="AA8" s="9">
        <v>1250.9637</v>
      </c>
    </row>
    <row r="9" spans="1:27" ht="18" customHeight="1" x14ac:dyDescent="0.3">
      <c r="A9" s="8" t="s">
        <v>36</v>
      </c>
      <c r="B9" s="9">
        <v>497.5</v>
      </c>
      <c r="C9" s="10">
        <v>149</v>
      </c>
      <c r="D9" s="10">
        <v>108</v>
      </c>
      <c r="E9" s="10">
        <v>48</v>
      </c>
      <c r="F9" s="10">
        <v>22</v>
      </c>
      <c r="G9" s="10">
        <v>10</v>
      </c>
      <c r="H9" s="10">
        <v>0</v>
      </c>
      <c r="I9" s="10">
        <v>337</v>
      </c>
      <c r="J9" s="10">
        <v>0</v>
      </c>
      <c r="K9" s="10">
        <v>1</v>
      </c>
      <c r="L9" s="10">
        <v>0</v>
      </c>
      <c r="M9" s="10">
        <v>1</v>
      </c>
      <c r="N9" s="11">
        <v>4.1131000000000002</v>
      </c>
      <c r="O9" s="12" t="s">
        <v>28</v>
      </c>
      <c r="P9" s="13">
        <v>165</v>
      </c>
      <c r="Q9" s="11">
        <v>2.3529270000000002</v>
      </c>
      <c r="R9" s="9">
        <v>571.36879999999996</v>
      </c>
      <c r="S9" s="11">
        <v>31.119499999999999</v>
      </c>
      <c r="T9" s="11">
        <v>101.3664</v>
      </c>
      <c r="U9" s="9">
        <v>95.967600000000004</v>
      </c>
      <c r="V9" s="9">
        <v>761.47969999999998</v>
      </c>
      <c r="W9" s="9">
        <v>0</v>
      </c>
      <c r="X9" s="9">
        <v>187.23769999999999</v>
      </c>
      <c r="Y9" s="9">
        <v>2264.7442999999998</v>
      </c>
      <c r="Z9" s="9">
        <v>3309.4294</v>
      </c>
      <c r="AA9" s="9">
        <v>6017.1442999999999</v>
      </c>
    </row>
    <row r="10" spans="1:27" ht="18" customHeight="1" x14ac:dyDescent="0.3">
      <c r="A10" s="8" t="s">
        <v>37</v>
      </c>
      <c r="B10" s="9">
        <v>536</v>
      </c>
      <c r="C10" s="10">
        <v>139</v>
      </c>
      <c r="D10" s="10">
        <v>103</v>
      </c>
      <c r="E10" s="10">
        <v>112</v>
      </c>
      <c r="F10" s="10">
        <v>23</v>
      </c>
      <c r="G10" s="10">
        <v>11</v>
      </c>
      <c r="H10" s="10">
        <v>0</v>
      </c>
      <c r="I10" s="10">
        <v>388</v>
      </c>
      <c r="J10" s="10">
        <v>0</v>
      </c>
      <c r="K10" s="10">
        <v>10</v>
      </c>
      <c r="L10" s="10">
        <v>0</v>
      </c>
      <c r="M10" s="10">
        <v>10</v>
      </c>
      <c r="N10" s="11">
        <v>4.8903999999999996</v>
      </c>
      <c r="O10" s="12" t="s">
        <v>28</v>
      </c>
      <c r="P10" s="13">
        <v>75</v>
      </c>
      <c r="Q10" s="11">
        <v>0.52294300000000005</v>
      </c>
      <c r="R10" s="9">
        <v>459.30259999999998</v>
      </c>
      <c r="S10" s="11">
        <v>32.677100000000003</v>
      </c>
      <c r="T10" s="11">
        <v>106.4401</v>
      </c>
      <c r="U10" s="9">
        <v>60.054600000000001</v>
      </c>
      <c r="V10" s="9">
        <v>176.51130000000001</v>
      </c>
      <c r="W10" s="9">
        <v>0</v>
      </c>
      <c r="X10" s="9">
        <v>42.986899999999999</v>
      </c>
      <c r="Y10" s="9">
        <v>528.51499999999999</v>
      </c>
      <c r="Z10" s="9">
        <v>808.06790000000001</v>
      </c>
      <c r="AA10" s="9">
        <v>1469.2144000000001</v>
      </c>
    </row>
    <row r="11" spans="1:27" ht="18" customHeight="1" x14ac:dyDescent="0.3">
      <c r="A11" s="15" t="s">
        <v>38</v>
      </c>
      <c r="B11" s="16">
        <v>442.5</v>
      </c>
      <c r="C11" s="17">
        <v>148</v>
      </c>
      <c r="D11" s="17">
        <v>77</v>
      </c>
      <c r="E11" s="17">
        <v>74</v>
      </c>
      <c r="F11" s="17">
        <v>20</v>
      </c>
      <c r="G11" s="17">
        <v>8</v>
      </c>
      <c r="H11" s="17">
        <v>0</v>
      </c>
      <c r="I11" s="17">
        <v>327</v>
      </c>
      <c r="J11" s="17">
        <v>0</v>
      </c>
      <c r="K11" s="17">
        <v>2</v>
      </c>
      <c r="L11" s="17">
        <v>0</v>
      </c>
      <c r="M11" s="17">
        <v>2</v>
      </c>
      <c r="N11" s="18">
        <v>3.8530000000000002</v>
      </c>
      <c r="O11" s="19" t="s">
        <v>28</v>
      </c>
      <c r="P11" s="20">
        <v>150</v>
      </c>
      <c r="Q11" s="18">
        <v>2.2235360000000002</v>
      </c>
      <c r="R11" s="16">
        <v>678.20870000000002</v>
      </c>
      <c r="S11" s="18">
        <v>28.695499999999999</v>
      </c>
      <c r="T11" s="18">
        <v>93.470600000000005</v>
      </c>
      <c r="U11" s="16">
        <v>102.1758</v>
      </c>
      <c r="V11" s="16">
        <v>723.48569999999995</v>
      </c>
      <c r="W11" s="16">
        <v>0</v>
      </c>
      <c r="X11" s="16">
        <v>155.5847</v>
      </c>
      <c r="Y11" s="16">
        <v>1794.0099</v>
      </c>
      <c r="Z11" s="16">
        <v>2775.2559999999999</v>
      </c>
      <c r="AA11" s="16">
        <v>5045.9201000000003</v>
      </c>
    </row>
    <row r="12" spans="1:27" ht="18" customHeight="1" x14ac:dyDescent="0.3">
      <c r="A12" s="15" t="s">
        <v>39</v>
      </c>
      <c r="B12" s="16">
        <v>182</v>
      </c>
      <c r="C12" s="17">
        <v>50</v>
      </c>
      <c r="D12" s="17">
        <v>38</v>
      </c>
      <c r="E12" s="17">
        <v>12</v>
      </c>
      <c r="F12" s="17">
        <v>10</v>
      </c>
      <c r="G12" s="17">
        <v>5</v>
      </c>
      <c r="H12" s="17">
        <v>0</v>
      </c>
      <c r="I12" s="17">
        <v>115</v>
      </c>
      <c r="J12" s="17">
        <v>0</v>
      </c>
      <c r="K12" s="17">
        <v>0</v>
      </c>
      <c r="L12" s="17">
        <v>1</v>
      </c>
      <c r="M12" s="17">
        <v>1</v>
      </c>
      <c r="N12" s="18">
        <v>2.6383000000000001</v>
      </c>
      <c r="O12" s="19" t="s">
        <v>30</v>
      </c>
      <c r="P12" s="20">
        <v>60</v>
      </c>
      <c r="Q12" s="18">
        <v>0.56939300000000004</v>
      </c>
      <c r="R12" s="21" t="s">
        <v>31</v>
      </c>
      <c r="S12" s="18">
        <v>26.398700000000002</v>
      </c>
      <c r="T12" s="18">
        <v>85.989400000000003</v>
      </c>
      <c r="U12" s="16">
        <v>24.395700000000001</v>
      </c>
      <c r="V12" s="16">
        <v>65.318299999999994</v>
      </c>
      <c r="W12" s="16">
        <v>0</v>
      </c>
      <c r="X12" s="16">
        <v>18.152100000000001</v>
      </c>
      <c r="Y12" s="16">
        <v>124.53789999999999</v>
      </c>
      <c r="Z12" s="16">
        <v>232.404</v>
      </c>
      <c r="AA12" s="16">
        <v>422.55270000000002</v>
      </c>
    </row>
    <row r="13" spans="1:27" ht="18" customHeight="1" x14ac:dyDescent="0.3">
      <c r="A13" s="15" t="s">
        <v>40</v>
      </c>
      <c r="B13" s="16">
        <v>394</v>
      </c>
      <c r="C13" s="17">
        <v>162</v>
      </c>
      <c r="D13" s="17">
        <v>52</v>
      </c>
      <c r="E13" s="17">
        <v>38</v>
      </c>
      <c r="F13" s="17">
        <v>22</v>
      </c>
      <c r="G13" s="17">
        <v>11</v>
      </c>
      <c r="H13" s="17">
        <v>0</v>
      </c>
      <c r="I13" s="17">
        <v>285</v>
      </c>
      <c r="J13" s="17">
        <v>0</v>
      </c>
      <c r="K13" s="17">
        <v>1</v>
      </c>
      <c r="L13" s="17">
        <v>0</v>
      </c>
      <c r="M13" s="17">
        <v>1</v>
      </c>
      <c r="N13" s="18">
        <v>3.5815000000000001</v>
      </c>
      <c r="O13" s="19" t="s">
        <v>30</v>
      </c>
      <c r="P13" s="20">
        <v>75</v>
      </c>
      <c r="Q13" s="18">
        <v>0.645007</v>
      </c>
      <c r="R13" s="21" t="s">
        <v>31</v>
      </c>
      <c r="S13" s="18">
        <v>28.883900000000001</v>
      </c>
      <c r="T13" s="18">
        <v>94.084500000000006</v>
      </c>
      <c r="U13" s="16">
        <v>55.736800000000002</v>
      </c>
      <c r="V13" s="16">
        <v>221.05189999999999</v>
      </c>
      <c r="W13" s="16">
        <v>0</v>
      </c>
      <c r="X13" s="16">
        <v>46.749000000000002</v>
      </c>
      <c r="Y13" s="16">
        <v>572.21990000000005</v>
      </c>
      <c r="Z13" s="16">
        <v>895.75760000000002</v>
      </c>
      <c r="AA13" s="16">
        <v>1628.6502</v>
      </c>
    </row>
    <row r="14" spans="1:27" ht="18" customHeight="1" x14ac:dyDescent="0.3">
      <c r="A14" s="15" t="s">
        <v>41</v>
      </c>
      <c r="B14" s="16">
        <v>402.25</v>
      </c>
      <c r="C14" s="17">
        <v>175</v>
      </c>
      <c r="D14" s="17">
        <v>56</v>
      </c>
      <c r="E14" s="17">
        <v>39</v>
      </c>
      <c r="F14" s="17">
        <v>22</v>
      </c>
      <c r="G14" s="17">
        <v>6</v>
      </c>
      <c r="H14" s="17">
        <v>0</v>
      </c>
      <c r="I14" s="17">
        <v>298</v>
      </c>
      <c r="J14" s="17">
        <v>0</v>
      </c>
      <c r="K14" s="17">
        <v>0</v>
      </c>
      <c r="L14" s="17">
        <v>1</v>
      </c>
      <c r="M14" s="17">
        <v>1</v>
      </c>
      <c r="N14" s="18">
        <v>3.4270999999999998</v>
      </c>
      <c r="O14" s="19" t="s">
        <v>28</v>
      </c>
      <c r="P14" s="20">
        <v>90</v>
      </c>
      <c r="Q14" s="18">
        <v>0.70374599999999998</v>
      </c>
      <c r="R14" s="16">
        <v>1459.3400999999999</v>
      </c>
      <c r="S14" s="18">
        <v>32.988100000000003</v>
      </c>
      <c r="T14" s="18">
        <v>107.45310000000001</v>
      </c>
      <c r="U14" s="16">
        <v>86.975200000000001</v>
      </c>
      <c r="V14" s="16">
        <v>249.7704</v>
      </c>
      <c r="W14" s="16">
        <v>0</v>
      </c>
      <c r="X14" s="16">
        <v>47.750700000000002</v>
      </c>
      <c r="Y14" s="16">
        <v>590.58489999999995</v>
      </c>
      <c r="Z14" s="16">
        <v>975.08119999999997</v>
      </c>
      <c r="AA14" s="16">
        <v>1772.875</v>
      </c>
    </row>
    <row r="15" spans="1:27" x14ac:dyDescent="0.3">
      <c r="A15" s="23" t="s">
        <v>50</v>
      </c>
      <c r="B15" s="24">
        <f t="shared" ref="B15:N15" si="0">SUM(B3:B14)</f>
        <v>5143.25</v>
      </c>
      <c r="C15" s="24">
        <f t="shared" si="0"/>
        <v>1722</v>
      </c>
      <c r="D15" s="24">
        <f t="shared" si="0"/>
        <v>910</v>
      </c>
      <c r="E15" s="24">
        <f t="shared" si="0"/>
        <v>735</v>
      </c>
      <c r="F15" s="24">
        <f t="shared" si="0"/>
        <v>242</v>
      </c>
      <c r="G15" s="24">
        <f t="shared" si="0"/>
        <v>97</v>
      </c>
      <c r="H15" s="24">
        <f t="shared" si="0"/>
        <v>0</v>
      </c>
      <c r="I15" s="24">
        <f t="shared" si="0"/>
        <v>3706</v>
      </c>
      <c r="J15" s="24">
        <f t="shared" si="0"/>
        <v>0</v>
      </c>
      <c r="K15" s="24">
        <f t="shared" si="0"/>
        <v>50</v>
      </c>
      <c r="L15" s="24">
        <f t="shared" si="0"/>
        <v>4</v>
      </c>
      <c r="M15" s="24">
        <f t="shared" si="0"/>
        <v>54</v>
      </c>
      <c r="N15" s="24">
        <f t="shared" si="0"/>
        <v>50.024000000000001</v>
      </c>
      <c r="O15" s="24"/>
      <c r="P15" s="24">
        <f t="shared" ref="P15:AA15" si="1">SUM(P3:P14)</f>
        <v>1080</v>
      </c>
      <c r="Q15" s="24">
        <f t="shared" si="1"/>
        <v>11.576062</v>
      </c>
      <c r="R15" s="24">
        <f t="shared" si="1"/>
        <v>4843.2968000000001</v>
      </c>
      <c r="S15" s="24">
        <f t="shared" si="1"/>
        <v>320.55439999999999</v>
      </c>
      <c r="T15" s="24">
        <f t="shared" si="1"/>
        <v>1044.1513000000002</v>
      </c>
      <c r="U15" s="24">
        <f t="shared" si="1"/>
        <v>793.15910000000008</v>
      </c>
      <c r="V15" s="24">
        <f t="shared" si="1"/>
        <v>3710.5222999999996</v>
      </c>
      <c r="W15" s="24">
        <f t="shared" si="1"/>
        <v>0</v>
      </c>
      <c r="X15" s="24">
        <f t="shared" si="1"/>
        <v>820.00990000000013</v>
      </c>
      <c r="Y15" s="24">
        <f t="shared" si="1"/>
        <v>10636.4722</v>
      </c>
      <c r="Z15" s="24">
        <f t="shared" si="1"/>
        <v>15960.163400000001</v>
      </c>
      <c r="AA15" s="24">
        <f t="shared" si="1"/>
        <v>29018.479299999999</v>
      </c>
    </row>
    <row r="16" spans="1:27" x14ac:dyDescent="0.3">
      <c r="A16" s="23" t="s">
        <v>51</v>
      </c>
      <c r="B16">
        <f>B15/3</f>
        <v>1714.4166666666667</v>
      </c>
      <c r="U16">
        <f t="shared" ref="U16:AA16" si="2">U15/3</f>
        <v>264.38636666666667</v>
      </c>
      <c r="V16">
        <f t="shared" si="2"/>
        <v>1236.8407666666665</v>
      </c>
      <c r="W16">
        <f t="shared" si="2"/>
        <v>0</v>
      </c>
      <c r="X16">
        <f t="shared" si="2"/>
        <v>273.3366333333334</v>
      </c>
      <c r="Y16">
        <f t="shared" si="2"/>
        <v>3545.4907333333335</v>
      </c>
      <c r="Z16">
        <f t="shared" si="2"/>
        <v>5320.0544666666674</v>
      </c>
      <c r="AA16">
        <f t="shared" si="2"/>
        <v>9672.8264333333336</v>
      </c>
    </row>
    <row r="17" spans="1:27" s="35" customFormat="1" x14ac:dyDescent="0.3">
      <c r="A17" s="36" t="s">
        <v>52</v>
      </c>
      <c r="B17" s="35">
        <f>B16*12</f>
        <v>20573</v>
      </c>
      <c r="U17" s="35">
        <f t="shared" ref="U17:AA17" si="3">U16*12</f>
        <v>3172.6364000000003</v>
      </c>
      <c r="V17" s="35">
        <f t="shared" si="3"/>
        <v>14842.089199999999</v>
      </c>
      <c r="W17" s="35">
        <f t="shared" si="3"/>
        <v>0</v>
      </c>
      <c r="X17" s="35">
        <f t="shared" si="3"/>
        <v>3280.039600000001</v>
      </c>
      <c r="Y17" s="35">
        <f t="shared" si="3"/>
        <v>42545.888800000001</v>
      </c>
      <c r="Z17" s="35">
        <f t="shared" si="3"/>
        <v>63840.653600000005</v>
      </c>
      <c r="AA17" s="35">
        <f t="shared" si="3"/>
        <v>116073.9172</v>
      </c>
    </row>
    <row r="18" spans="1:27" x14ac:dyDescent="0.3">
      <c r="A18" s="23"/>
    </row>
    <row r="20" spans="1:27" x14ac:dyDescent="0.3">
      <c r="A20" s="22" t="s">
        <v>46</v>
      </c>
      <c r="B20">
        <f>(SUM(B3:B14)/3)/(MAX(B3:B14)*4)</f>
        <v>0.75392113749633538</v>
      </c>
      <c r="D20" t="s">
        <v>47</v>
      </c>
      <c r="E20" t="s">
        <v>48</v>
      </c>
    </row>
    <row r="22" spans="1:27" x14ac:dyDescent="0.3">
      <c r="A22" s="22" t="s">
        <v>53</v>
      </c>
      <c r="B22">
        <v>2000</v>
      </c>
    </row>
    <row r="23" spans="1:27" x14ac:dyDescent="0.3">
      <c r="A23" t="s">
        <v>58</v>
      </c>
      <c r="B23">
        <f>B16/B22</f>
        <v>0.85720833333333335</v>
      </c>
      <c r="D23" t="s">
        <v>47</v>
      </c>
      <c r="E23" t="s">
        <v>55</v>
      </c>
    </row>
    <row r="25" spans="1:27" x14ac:dyDescent="0.3">
      <c r="A25" t="s">
        <v>56</v>
      </c>
      <c r="B25" s="25">
        <f>AVERAGE(N3:N14)</f>
        <v>4.1686666666666667</v>
      </c>
      <c r="D25" t="s">
        <v>47</v>
      </c>
      <c r="E25" t="s">
        <v>57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5"/>
  <sheetViews>
    <sheetView tabSelected="1" workbookViewId="0">
      <selection activeCell="N3" sqref="N3:T15"/>
    </sheetView>
  </sheetViews>
  <sheetFormatPr defaultRowHeight="14.4" x14ac:dyDescent="0.3"/>
  <cols>
    <col min="1" max="1" width="18" customWidth="1"/>
    <col min="2" max="2" width="10" customWidth="1"/>
    <col min="3" max="3" width="8" customWidth="1"/>
    <col min="9" max="9" width="10" customWidth="1"/>
    <col min="10" max="10" width="9" customWidth="1"/>
    <col min="12" max="12" width="8" customWidth="1"/>
    <col min="13" max="13" width="11" customWidth="1"/>
    <col min="14" max="14" width="10" customWidth="1"/>
    <col min="15" max="15" width="14" customWidth="1"/>
    <col min="16" max="16" width="9" customWidth="1"/>
    <col min="17" max="17" width="11" customWidth="1"/>
    <col min="19" max="19" width="10" customWidth="1"/>
    <col min="21" max="21" width="11" customWidth="1"/>
    <col min="22" max="22" width="10" customWidth="1"/>
    <col min="23" max="23" width="12" customWidth="1"/>
    <col min="24" max="24" width="11" customWidth="1"/>
    <col min="26" max="26" width="12" customWidth="1"/>
    <col min="27" max="27" width="14" customWidth="1"/>
  </cols>
  <sheetData>
    <row r="1" spans="1:27" ht="24" customHeight="1" x14ac:dyDescent="0.3">
      <c r="A1" s="39" t="s">
        <v>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ht="51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8" customHeight="1" x14ac:dyDescent="0.3">
      <c r="A3" s="2" t="s">
        <v>27</v>
      </c>
      <c r="B3" s="3">
        <v>391</v>
      </c>
      <c r="C3" s="4">
        <v>132</v>
      </c>
      <c r="D3" s="4">
        <v>69</v>
      </c>
      <c r="E3" s="4">
        <v>40</v>
      </c>
      <c r="F3" s="4">
        <v>21</v>
      </c>
      <c r="G3" s="4">
        <v>8</v>
      </c>
      <c r="H3" s="4">
        <v>0</v>
      </c>
      <c r="I3" s="4">
        <v>270</v>
      </c>
      <c r="J3" s="4">
        <v>0</v>
      </c>
      <c r="K3" s="4">
        <v>8</v>
      </c>
      <c r="L3" s="4">
        <v>0</v>
      </c>
      <c r="M3" s="4">
        <v>8</v>
      </c>
      <c r="N3" s="5">
        <v>4.9039999999999999</v>
      </c>
      <c r="O3" s="6" t="s">
        <v>28</v>
      </c>
      <c r="P3" s="7">
        <v>195</v>
      </c>
      <c r="Q3" s="5">
        <v>2.7052649999999998</v>
      </c>
      <c r="R3" s="3">
        <v>581.7047</v>
      </c>
      <c r="S3" s="5">
        <v>29.638400000000001</v>
      </c>
      <c r="T3" s="5">
        <v>96.541899999999998</v>
      </c>
      <c r="U3" s="3">
        <v>51.133800000000001</v>
      </c>
      <c r="V3" s="3">
        <v>775.51610000000005</v>
      </c>
      <c r="W3" s="3">
        <v>0</v>
      </c>
      <c r="X3" s="3">
        <v>178.22</v>
      </c>
      <c r="Y3" s="3">
        <v>2654.0745000000002</v>
      </c>
      <c r="Z3" s="3">
        <v>3658.9443000000001</v>
      </c>
      <c r="AA3" s="3">
        <v>6652.6260000000002</v>
      </c>
    </row>
    <row r="4" spans="1:27" ht="18" customHeight="1" x14ac:dyDescent="0.3">
      <c r="A4" s="2" t="s">
        <v>29</v>
      </c>
      <c r="B4" s="3">
        <v>396.25</v>
      </c>
      <c r="C4" s="4">
        <v>155</v>
      </c>
      <c r="D4" s="4">
        <v>67</v>
      </c>
      <c r="E4" s="4">
        <v>43</v>
      </c>
      <c r="F4" s="4">
        <v>18</v>
      </c>
      <c r="G4" s="4">
        <v>6</v>
      </c>
      <c r="H4" s="4">
        <v>0</v>
      </c>
      <c r="I4" s="4">
        <v>289</v>
      </c>
      <c r="J4" s="4">
        <v>0</v>
      </c>
      <c r="K4" s="4">
        <v>6</v>
      </c>
      <c r="L4" s="4">
        <v>0</v>
      </c>
      <c r="M4" s="4">
        <v>6</v>
      </c>
      <c r="N4" s="5">
        <v>4.1702000000000004</v>
      </c>
      <c r="O4" s="6" t="s">
        <v>28</v>
      </c>
      <c r="P4" s="7">
        <v>195</v>
      </c>
      <c r="Q4" s="5">
        <v>1.3453349999999999</v>
      </c>
      <c r="R4" s="3">
        <v>1133.0536</v>
      </c>
      <c r="S4" s="5">
        <v>62.3232</v>
      </c>
      <c r="T4" s="5">
        <v>203.00710000000001</v>
      </c>
      <c r="U4" s="3">
        <v>52.5548</v>
      </c>
      <c r="V4" s="3">
        <v>425.88350000000003</v>
      </c>
      <c r="W4" s="3">
        <v>0</v>
      </c>
      <c r="X4" s="3">
        <v>84.832499999999996</v>
      </c>
      <c r="Y4" s="3">
        <v>1150.8452</v>
      </c>
      <c r="Z4" s="3">
        <v>1714.116</v>
      </c>
      <c r="AA4" s="3">
        <v>3116.5745999999999</v>
      </c>
    </row>
    <row r="5" spans="1:27" ht="18" customHeight="1" x14ac:dyDescent="0.3">
      <c r="A5" s="2" t="s">
        <v>42</v>
      </c>
      <c r="B5" s="3">
        <v>124</v>
      </c>
      <c r="C5" s="4">
        <v>47</v>
      </c>
      <c r="D5" s="4">
        <v>25</v>
      </c>
      <c r="E5" s="4">
        <v>12</v>
      </c>
      <c r="F5" s="4">
        <v>6</v>
      </c>
      <c r="G5" s="4">
        <v>0</v>
      </c>
      <c r="H5" s="4">
        <v>0</v>
      </c>
      <c r="I5" s="4">
        <v>90</v>
      </c>
      <c r="J5" s="4">
        <v>0</v>
      </c>
      <c r="K5" s="4">
        <v>0</v>
      </c>
      <c r="L5" s="4">
        <v>0</v>
      </c>
      <c r="M5" s="4">
        <v>0</v>
      </c>
      <c r="N5" s="5">
        <v>3.4944000000000002</v>
      </c>
      <c r="O5" s="6" t="s">
        <v>28</v>
      </c>
      <c r="P5" s="7">
        <v>270</v>
      </c>
      <c r="Q5" s="5">
        <v>4.0707319999999996</v>
      </c>
      <c r="R5" s="3">
        <v>1415.1995999999999</v>
      </c>
      <c r="S5" s="5">
        <v>24.550999999999998</v>
      </c>
      <c r="T5" s="5">
        <v>79.970600000000005</v>
      </c>
      <c r="U5" s="3">
        <v>18.543700000000001</v>
      </c>
      <c r="V5" s="3">
        <v>378.71780000000001</v>
      </c>
      <c r="W5" s="3">
        <v>0</v>
      </c>
      <c r="X5" s="3">
        <v>72.534300000000002</v>
      </c>
      <c r="Y5" s="3">
        <v>996.92899999999997</v>
      </c>
      <c r="Z5" s="3">
        <v>1466.7248999999999</v>
      </c>
      <c r="AA5" s="3">
        <v>2666.7725</v>
      </c>
    </row>
    <row r="6" spans="1:27" ht="18" customHeight="1" x14ac:dyDescent="0.3">
      <c r="A6" s="2" t="s">
        <v>33</v>
      </c>
      <c r="B6" s="3">
        <v>404.75</v>
      </c>
      <c r="C6" s="4">
        <v>161</v>
      </c>
      <c r="D6" s="4">
        <v>64</v>
      </c>
      <c r="E6" s="4">
        <v>81</v>
      </c>
      <c r="F6" s="4">
        <v>14</v>
      </c>
      <c r="G6" s="4">
        <v>3</v>
      </c>
      <c r="H6" s="4">
        <v>0</v>
      </c>
      <c r="I6" s="4">
        <v>323</v>
      </c>
      <c r="J6" s="4">
        <v>0</v>
      </c>
      <c r="K6" s="4">
        <v>8</v>
      </c>
      <c r="L6" s="4">
        <v>0</v>
      </c>
      <c r="M6" s="4">
        <v>8</v>
      </c>
      <c r="N6" s="5">
        <v>5.0984999999999996</v>
      </c>
      <c r="O6" s="6" t="s">
        <v>28</v>
      </c>
      <c r="P6" s="7">
        <v>90</v>
      </c>
      <c r="Q6" s="5">
        <v>0.43299500000000002</v>
      </c>
      <c r="R6" s="3">
        <v>212.93039999999999</v>
      </c>
      <c r="S6" s="5">
        <v>22.399799999999999</v>
      </c>
      <c r="T6" s="5">
        <v>72.963499999999996</v>
      </c>
      <c r="U6" s="3">
        <v>100.0398</v>
      </c>
      <c r="V6" s="3">
        <v>142.61359999999999</v>
      </c>
      <c r="W6" s="3">
        <v>0</v>
      </c>
      <c r="X6" s="3">
        <v>24.464700000000001</v>
      </c>
      <c r="Y6" s="3">
        <v>470.99400000000003</v>
      </c>
      <c r="Z6" s="3">
        <v>738.11210000000005</v>
      </c>
      <c r="AA6" s="3">
        <v>1342.0219999999999</v>
      </c>
    </row>
    <row r="7" spans="1:27" ht="18" customHeight="1" x14ac:dyDescent="0.3">
      <c r="A7" s="8" t="s">
        <v>34</v>
      </c>
      <c r="B7" s="9">
        <v>425</v>
      </c>
      <c r="C7" s="10">
        <v>140</v>
      </c>
      <c r="D7" s="10">
        <v>71</v>
      </c>
      <c r="E7" s="10">
        <v>62</v>
      </c>
      <c r="F7" s="10">
        <v>20</v>
      </c>
      <c r="G7" s="10">
        <v>11</v>
      </c>
      <c r="H7" s="10">
        <v>0</v>
      </c>
      <c r="I7" s="10">
        <v>304</v>
      </c>
      <c r="J7" s="10">
        <v>0</v>
      </c>
      <c r="K7" s="10">
        <v>7</v>
      </c>
      <c r="L7" s="10">
        <v>0</v>
      </c>
      <c r="M7" s="10">
        <v>7</v>
      </c>
      <c r="N7" s="11">
        <v>4.6870000000000003</v>
      </c>
      <c r="O7" s="12" t="s">
        <v>28</v>
      </c>
      <c r="P7" s="13">
        <v>0</v>
      </c>
      <c r="Q7" s="11">
        <v>0</v>
      </c>
      <c r="R7" s="9">
        <v>0</v>
      </c>
      <c r="S7" s="11">
        <v>0</v>
      </c>
      <c r="T7" s="11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</row>
    <row r="8" spans="1:27" ht="18" customHeight="1" x14ac:dyDescent="0.3">
      <c r="A8" s="8" t="s">
        <v>35</v>
      </c>
      <c r="B8" s="9">
        <v>580.5</v>
      </c>
      <c r="C8" s="10">
        <v>194</v>
      </c>
      <c r="D8" s="10">
        <v>99</v>
      </c>
      <c r="E8" s="10">
        <v>90</v>
      </c>
      <c r="F8" s="10">
        <v>25</v>
      </c>
      <c r="G8" s="10">
        <v>14</v>
      </c>
      <c r="H8" s="10">
        <v>0</v>
      </c>
      <c r="I8" s="10">
        <v>422</v>
      </c>
      <c r="J8" s="10">
        <v>0</v>
      </c>
      <c r="K8" s="10">
        <v>8</v>
      </c>
      <c r="L8" s="10">
        <v>0</v>
      </c>
      <c r="M8" s="10">
        <v>8</v>
      </c>
      <c r="N8" s="11">
        <v>4.3478000000000003</v>
      </c>
      <c r="O8" s="12" t="s">
        <v>28</v>
      </c>
      <c r="P8" s="13">
        <v>0</v>
      </c>
      <c r="Q8" s="11">
        <v>0</v>
      </c>
      <c r="R8" s="9">
        <v>0</v>
      </c>
      <c r="S8" s="11">
        <v>0</v>
      </c>
      <c r="T8" s="11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</row>
    <row r="9" spans="1:27" ht="18" customHeight="1" x14ac:dyDescent="0.3">
      <c r="A9" s="8" t="s">
        <v>36</v>
      </c>
      <c r="B9" s="9">
        <v>315.25</v>
      </c>
      <c r="C9" s="10">
        <v>125</v>
      </c>
      <c r="D9" s="10">
        <v>42</v>
      </c>
      <c r="E9" s="10">
        <v>33</v>
      </c>
      <c r="F9" s="10">
        <v>17</v>
      </c>
      <c r="G9" s="10">
        <v>10</v>
      </c>
      <c r="H9" s="10">
        <v>0</v>
      </c>
      <c r="I9" s="10">
        <v>227</v>
      </c>
      <c r="J9" s="10">
        <v>0</v>
      </c>
      <c r="K9" s="10">
        <v>1</v>
      </c>
      <c r="L9" s="10">
        <v>0</v>
      </c>
      <c r="M9" s="10">
        <v>1</v>
      </c>
      <c r="N9" s="11">
        <v>3.9154</v>
      </c>
      <c r="O9" s="12" t="s">
        <v>28</v>
      </c>
      <c r="P9" s="13">
        <v>120</v>
      </c>
      <c r="Q9" s="11">
        <v>0.64857200000000004</v>
      </c>
      <c r="R9" s="9">
        <v>341.46379999999999</v>
      </c>
      <c r="S9" s="11">
        <v>24.316099999999999</v>
      </c>
      <c r="T9" s="11">
        <v>79.205600000000004</v>
      </c>
      <c r="U9" s="9">
        <v>99.858500000000006</v>
      </c>
      <c r="V9" s="9">
        <v>174.41470000000001</v>
      </c>
      <c r="W9" s="9">
        <v>0</v>
      </c>
      <c r="X9" s="9">
        <v>38.0261</v>
      </c>
      <c r="Y9" s="9">
        <v>399.28870000000001</v>
      </c>
      <c r="Z9" s="9">
        <v>711.58799999999997</v>
      </c>
      <c r="AA9" s="9">
        <v>1293.7963999999999</v>
      </c>
    </row>
    <row r="10" spans="1:27" ht="18" customHeight="1" x14ac:dyDescent="0.3">
      <c r="A10" s="8" t="s">
        <v>37</v>
      </c>
      <c r="B10" s="9">
        <v>383.25</v>
      </c>
      <c r="C10" s="10">
        <v>151</v>
      </c>
      <c r="D10" s="10">
        <v>37</v>
      </c>
      <c r="E10" s="10">
        <v>73</v>
      </c>
      <c r="F10" s="10">
        <v>25</v>
      </c>
      <c r="G10" s="10">
        <v>8</v>
      </c>
      <c r="H10" s="10">
        <v>0</v>
      </c>
      <c r="I10" s="10">
        <v>294</v>
      </c>
      <c r="J10" s="10">
        <v>0</v>
      </c>
      <c r="K10" s="10">
        <v>9</v>
      </c>
      <c r="L10" s="10">
        <v>0</v>
      </c>
      <c r="M10" s="10">
        <v>9</v>
      </c>
      <c r="N10" s="11">
        <v>4.7686999999999999</v>
      </c>
      <c r="O10" s="12" t="s">
        <v>28</v>
      </c>
      <c r="P10" s="13">
        <v>60</v>
      </c>
      <c r="Q10" s="11">
        <v>0.44925799999999999</v>
      </c>
      <c r="R10" s="9">
        <v>591.23109999999997</v>
      </c>
      <c r="S10" s="11">
        <v>22.536100000000001</v>
      </c>
      <c r="T10" s="11">
        <v>73.407399999999996</v>
      </c>
      <c r="U10" s="9">
        <v>69.299599999999998</v>
      </c>
      <c r="V10" s="9">
        <v>152.19300000000001</v>
      </c>
      <c r="W10" s="9">
        <v>0</v>
      </c>
      <c r="X10" s="9">
        <v>30.6464</v>
      </c>
      <c r="Y10" s="9">
        <v>496.25819999999999</v>
      </c>
      <c r="Z10" s="9">
        <v>748.3972</v>
      </c>
      <c r="AA10" s="9">
        <v>1360.7221999999999</v>
      </c>
    </row>
    <row r="11" spans="1:27" ht="18" customHeight="1" x14ac:dyDescent="0.3">
      <c r="A11" s="15" t="s">
        <v>38</v>
      </c>
      <c r="B11" s="16">
        <v>559.75</v>
      </c>
      <c r="C11" s="17">
        <v>160</v>
      </c>
      <c r="D11" s="17">
        <v>102</v>
      </c>
      <c r="E11" s="17">
        <v>143</v>
      </c>
      <c r="F11" s="17">
        <v>15</v>
      </c>
      <c r="G11" s="17">
        <v>14</v>
      </c>
      <c r="H11" s="17">
        <v>0</v>
      </c>
      <c r="I11" s="17">
        <v>434</v>
      </c>
      <c r="J11" s="17">
        <v>0</v>
      </c>
      <c r="K11" s="17">
        <v>3</v>
      </c>
      <c r="L11" s="17">
        <v>0</v>
      </c>
      <c r="M11" s="17">
        <v>3</v>
      </c>
      <c r="N11" s="18">
        <v>4.6574999999999998</v>
      </c>
      <c r="O11" s="19" t="s">
        <v>28</v>
      </c>
      <c r="P11" s="20">
        <v>90</v>
      </c>
      <c r="Q11" s="18">
        <v>0.64443099999999998</v>
      </c>
      <c r="R11" s="16">
        <v>639.39170000000001</v>
      </c>
      <c r="S11" s="18">
        <v>44.272300000000001</v>
      </c>
      <c r="T11" s="18">
        <v>144.20959999999999</v>
      </c>
      <c r="U11" s="16">
        <v>100.2955</v>
      </c>
      <c r="V11" s="16">
        <v>242.62270000000001</v>
      </c>
      <c r="W11" s="16">
        <v>0</v>
      </c>
      <c r="X11" s="16">
        <v>53.241</v>
      </c>
      <c r="Y11" s="16">
        <v>754.64980000000003</v>
      </c>
      <c r="Z11" s="16">
        <v>1150.809</v>
      </c>
      <c r="AA11" s="16">
        <v>2092.3798999999999</v>
      </c>
    </row>
    <row r="12" spans="1:27" ht="18" customHeight="1" x14ac:dyDescent="0.3">
      <c r="A12" s="15" t="s">
        <v>39</v>
      </c>
      <c r="B12" s="16">
        <v>342.75</v>
      </c>
      <c r="C12" s="17">
        <v>137</v>
      </c>
      <c r="D12" s="17">
        <v>36</v>
      </c>
      <c r="E12" s="17">
        <v>47</v>
      </c>
      <c r="F12" s="17">
        <v>27</v>
      </c>
      <c r="G12" s="17">
        <v>5</v>
      </c>
      <c r="H12" s="17">
        <v>0</v>
      </c>
      <c r="I12" s="17">
        <v>252</v>
      </c>
      <c r="J12" s="17">
        <v>0</v>
      </c>
      <c r="K12" s="17">
        <v>1</v>
      </c>
      <c r="L12" s="17">
        <v>1</v>
      </c>
      <c r="M12" s="17">
        <v>2</v>
      </c>
      <c r="N12" s="18">
        <v>3.5097999999999998</v>
      </c>
      <c r="O12" s="19" t="s">
        <v>28</v>
      </c>
      <c r="P12" s="20">
        <v>90</v>
      </c>
      <c r="Q12" s="18">
        <v>1.4927440000000001</v>
      </c>
      <c r="R12" s="16">
        <v>9302.1429000000007</v>
      </c>
      <c r="S12" s="18">
        <v>16.585999999999999</v>
      </c>
      <c r="T12" s="18">
        <v>54.026200000000003</v>
      </c>
      <c r="U12" s="16">
        <v>54.434699999999999</v>
      </c>
      <c r="V12" s="16">
        <v>451.86610000000002</v>
      </c>
      <c r="W12" s="16">
        <v>0</v>
      </c>
      <c r="X12" s="16">
        <v>93.483800000000002</v>
      </c>
      <c r="Y12" s="16">
        <v>1089.4573</v>
      </c>
      <c r="Z12" s="16">
        <v>1689.2418</v>
      </c>
      <c r="AA12" s="16">
        <v>3071.3487</v>
      </c>
    </row>
    <row r="13" spans="1:27" ht="18" customHeight="1" x14ac:dyDescent="0.3">
      <c r="A13" s="15" t="s">
        <v>40</v>
      </c>
      <c r="B13" s="16">
        <v>305.5</v>
      </c>
      <c r="C13" s="17">
        <v>153</v>
      </c>
      <c r="D13" s="17">
        <v>22</v>
      </c>
      <c r="E13" s="17">
        <v>52</v>
      </c>
      <c r="F13" s="17">
        <v>17</v>
      </c>
      <c r="G13" s="17">
        <v>6</v>
      </c>
      <c r="H13" s="17">
        <v>0</v>
      </c>
      <c r="I13" s="17">
        <v>250</v>
      </c>
      <c r="J13" s="17">
        <v>0</v>
      </c>
      <c r="K13" s="17">
        <v>1</v>
      </c>
      <c r="L13" s="17">
        <v>0</v>
      </c>
      <c r="M13" s="17">
        <v>1</v>
      </c>
      <c r="N13" s="18">
        <v>4.1820000000000004</v>
      </c>
      <c r="O13" s="19" t="s">
        <v>28</v>
      </c>
      <c r="P13" s="20">
        <v>0</v>
      </c>
      <c r="Q13" s="18">
        <v>0</v>
      </c>
      <c r="R13" s="16">
        <v>0</v>
      </c>
      <c r="S13" s="18">
        <v>0</v>
      </c>
      <c r="T13" s="18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</row>
    <row r="14" spans="1:27" ht="18" customHeight="1" x14ac:dyDescent="0.3">
      <c r="A14" s="15" t="s">
        <v>41</v>
      </c>
      <c r="B14" s="16">
        <v>456.75</v>
      </c>
      <c r="C14" s="17">
        <v>193</v>
      </c>
      <c r="D14" s="17">
        <v>51</v>
      </c>
      <c r="E14" s="17">
        <v>47</v>
      </c>
      <c r="F14" s="17">
        <v>35</v>
      </c>
      <c r="G14" s="17">
        <v>7</v>
      </c>
      <c r="H14" s="17">
        <v>0</v>
      </c>
      <c r="I14" s="17">
        <v>333</v>
      </c>
      <c r="J14" s="17">
        <v>0</v>
      </c>
      <c r="K14" s="17">
        <v>1</v>
      </c>
      <c r="L14" s="17">
        <v>0</v>
      </c>
      <c r="M14" s="17">
        <v>1</v>
      </c>
      <c r="N14" s="18">
        <v>3.085</v>
      </c>
      <c r="O14" s="19" t="s">
        <v>28</v>
      </c>
      <c r="P14" s="20">
        <v>0</v>
      </c>
      <c r="Q14" s="18">
        <v>0</v>
      </c>
      <c r="R14" s="16">
        <v>0</v>
      </c>
      <c r="S14" s="18">
        <v>0</v>
      </c>
      <c r="T14" s="18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</row>
    <row r="15" spans="1:27" x14ac:dyDescent="0.3">
      <c r="A15" s="23" t="s">
        <v>50</v>
      </c>
      <c r="B15" s="24">
        <f t="shared" ref="B15:N15" si="0">SUM(B3:B14)</f>
        <v>4684.75</v>
      </c>
      <c r="C15" s="24">
        <f t="shared" si="0"/>
        <v>1748</v>
      </c>
      <c r="D15" s="24">
        <f t="shared" si="0"/>
        <v>685</v>
      </c>
      <c r="E15" s="24">
        <f t="shared" si="0"/>
        <v>723</v>
      </c>
      <c r="F15" s="24">
        <f t="shared" si="0"/>
        <v>240</v>
      </c>
      <c r="G15" s="24">
        <f t="shared" si="0"/>
        <v>92</v>
      </c>
      <c r="H15" s="24">
        <f t="shared" si="0"/>
        <v>0</v>
      </c>
      <c r="I15" s="24">
        <f t="shared" si="0"/>
        <v>3488</v>
      </c>
      <c r="J15" s="24">
        <f t="shared" si="0"/>
        <v>0</v>
      </c>
      <c r="K15" s="24">
        <f t="shared" si="0"/>
        <v>53</v>
      </c>
      <c r="L15" s="24">
        <f t="shared" si="0"/>
        <v>1</v>
      </c>
      <c r="M15" s="24">
        <f t="shared" si="0"/>
        <v>54</v>
      </c>
      <c r="N15" s="24">
        <f t="shared" si="0"/>
        <v>50.820300000000003</v>
      </c>
      <c r="O15" s="24"/>
      <c r="P15" s="24">
        <f t="shared" ref="P15:AA15" si="1">SUM(P3:P14)</f>
        <v>1110</v>
      </c>
      <c r="Q15" s="24">
        <f t="shared" si="1"/>
        <v>11.789332</v>
      </c>
      <c r="R15" s="24">
        <f t="shared" si="1"/>
        <v>14217.1178</v>
      </c>
      <c r="S15" s="24">
        <f t="shared" si="1"/>
        <v>246.62290000000002</v>
      </c>
      <c r="T15" s="24">
        <f t="shared" si="1"/>
        <v>803.33190000000002</v>
      </c>
      <c r="U15" s="24">
        <f t="shared" si="1"/>
        <v>546.16039999999998</v>
      </c>
      <c r="V15" s="24">
        <f t="shared" si="1"/>
        <v>2743.8275000000003</v>
      </c>
      <c r="W15" s="24">
        <f t="shared" si="1"/>
        <v>0</v>
      </c>
      <c r="X15" s="24">
        <f t="shared" si="1"/>
        <v>575.44880000000001</v>
      </c>
      <c r="Y15" s="24">
        <f t="shared" si="1"/>
        <v>8012.4967000000006</v>
      </c>
      <c r="Z15" s="24">
        <f t="shared" si="1"/>
        <v>11877.933299999999</v>
      </c>
      <c r="AA15" s="24">
        <f t="shared" si="1"/>
        <v>21596.242299999998</v>
      </c>
    </row>
    <row r="16" spans="1:27" x14ac:dyDescent="0.3">
      <c r="A16" s="23" t="s">
        <v>51</v>
      </c>
      <c r="B16">
        <f>B15/3</f>
        <v>1561.5833333333333</v>
      </c>
      <c r="U16">
        <f t="shared" ref="U16:AA16" si="2">U15/3</f>
        <v>182.05346666666665</v>
      </c>
      <c r="V16">
        <f t="shared" si="2"/>
        <v>914.60916666666674</v>
      </c>
      <c r="W16">
        <f t="shared" si="2"/>
        <v>0</v>
      </c>
      <c r="X16">
        <f t="shared" si="2"/>
        <v>191.81626666666668</v>
      </c>
      <c r="Y16">
        <f t="shared" si="2"/>
        <v>2670.8322333333335</v>
      </c>
      <c r="Z16">
        <f t="shared" si="2"/>
        <v>3959.3110999999994</v>
      </c>
      <c r="AA16">
        <f t="shared" si="2"/>
        <v>7198.747433333333</v>
      </c>
    </row>
    <row r="17" spans="1:27" s="35" customFormat="1" x14ac:dyDescent="0.3">
      <c r="A17" s="36" t="s">
        <v>52</v>
      </c>
      <c r="B17" s="35">
        <f>B16*12</f>
        <v>18739</v>
      </c>
      <c r="U17" s="35">
        <f t="shared" ref="U17:AA17" si="3">U16*12</f>
        <v>2184.6415999999999</v>
      </c>
      <c r="V17" s="35">
        <f t="shared" si="3"/>
        <v>10975.310000000001</v>
      </c>
      <c r="W17" s="35">
        <f t="shared" si="3"/>
        <v>0</v>
      </c>
      <c r="X17" s="35">
        <f t="shared" si="3"/>
        <v>2301.7952</v>
      </c>
      <c r="Y17" s="35">
        <f t="shared" si="3"/>
        <v>32049.986800000002</v>
      </c>
      <c r="Z17" s="35">
        <f t="shared" si="3"/>
        <v>47511.733199999995</v>
      </c>
      <c r="AA17" s="35">
        <f t="shared" si="3"/>
        <v>86384.969199999992</v>
      </c>
    </row>
    <row r="18" spans="1:27" x14ac:dyDescent="0.3">
      <c r="A18" s="23"/>
    </row>
    <row r="20" spans="1:27" x14ac:dyDescent="0.3">
      <c r="A20" s="22" t="s">
        <v>46</v>
      </c>
      <c r="B20">
        <f>(SUM(B3:B14)/3)/(MAX(B3:B14)*4)</f>
        <v>0.67251650875681879</v>
      </c>
      <c r="D20" t="s">
        <v>47</v>
      </c>
      <c r="E20" t="s">
        <v>49</v>
      </c>
    </row>
    <row r="22" spans="1:27" x14ac:dyDescent="0.3">
      <c r="A22" s="22" t="s">
        <v>53</v>
      </c>
      <c r="B22">
        <v>2000</v>
      </c>
    </row>
    <row r="23" spans="1:27" x14ac:dyDescent="0.3">
      <c r="A23" t="s">
        <v>58</v>
      </c>
      <c r="B23">
        <f>B16/B22</f>
        <v>0.78079166666666666</v>
      </c>
      <c r="D23" t="s">
        <v>47</v>
      </c>
      <c r="E23" t="s">
        <v>59</v>
      </c>
    </row>
    <row r="25" spans="1:27" x14ac:dyDescent="0.3">
      <c r="A25" t="s">
        <v>60</v>
      </c>
      <c r="B25" s="25">
        <f>AVERAGE(N3:N14)</f>
        <v>4.2350250000000003</v>
      </c>
      <c r="D25" t="s">
        <v>47</v>
      </c>
      <c r="E25" t="s">
        <v>57</v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4FC1-AD50-4CB5-808B-7C3E7936B444}">
  <dimension ref="A1:J16"/>
  <sheetViews>
    <sheetView zoomScale="70" zoomScaleNormal="70" workbookViewId="0">
      <selection activeCell="J20" sqref="J20"/>
    </sheetView>
  </sheetViews>
  <sheetFormatPr defaultRowHeight="14.4" x14ac:dyDescent="0.3"/>
  <cols>
    <col min="1" max="1" width="24.77734375" customWidth="1"/>
    <col min="6" max="6" width="12.88671875" customWidth="1"/>
    <col min="7" max="7" width="17.21875" customWidth="1"/>
    <col min="8" max="8" width="13.21875" customWidth="1"/>
    <col min="9" max="9" width="14.21875" customWidth="1"/>
    <col min="10" max="10" width="15" customWidth="1"/>
  </cols>
  <sheetData>
    <row r="1" spans="1:10" ht="17.399999999999999" x14ac:dyDescent="0.3">
      <c r="A1" s="41" t="s">
        <v>61</v>
      </c>
      <c r="B1" s="42"/>
      <c r="C1" s="42"/>
      <c r="D1" s="42"/>
      <c r="E1" s="42"/>
      <c r="F1" s="42"/>
      <c r="G1" s="42"/>
      <c r="H1" s="42"/>
      <c r="I1" s="43"/>
      <c r="J1" s="26"/>
    </row>
    <row r="2" spans="1:10" ht="72" x14ac:dyDescent="0.3">
      <c r="A2" s="27" t="s">
        <v>72</v>
      </c>
      <c r="B2" s="27" t="s">
        <v>20</v>
      </c>
      <c r="C2" s="27" t="s">
        <v>21</v>
      </c>
      <c r="D2" s="27" t="s">
        <v>22</v>
      </c>
      <c r="E2" s="27" t="s">
        <v>23</v>
      </c>
      <c r="F2" s="27" t="s">
        <v>24</v>
      </c>
      <c r="G2" s="28" t="s">
        <v>25</v>
      </c>
      <c r="H2" s="28" t="s">
        <v>62</v>
      </c>
      <c r="I2" s="28" t="s">
        <v>26</v>
      </c>
      <c r="J2" s="29" t="s">
        <v>63</v>
      </c>
    </row>
    <row r="3" spans="1:10" x14ac:dyDescent="0.3">
      <c r="A3" t="s">
        <v>64</v>
      </c>
      <c r="B3">
        <v>2674.1096000000002</v>
      </c>
      <c r="C3">
        <v>10644.809199999998</v>
      </c>
      <c r="D3">
        <v>0</v>
      </c>
      <c r="E3">
        <v>2311.8368</v>
      </c>
      <c r="F3">
        <v>34059.979999999996</v>
      </c>
      <c r="G3">
        <v>49690.734800000006</v>
      </c>
      <c r="H3">
        <f>G3-C3</f>
        <v>39045.92560000001</v>
      </c>
      <c r="I3">
        <f>G3*(1/0.55)</f>
        <v>90346.790545454554</v>
      </c>
      <c r="J3">
        <f>H3*(1/0.55)</f>
        <v>70992.592000000019</v>
      </c>
    </row>
    <row r="4" spans="1:10" x14ac:dyDescent="0.3">
      <c r="A4" t="s">
        <v>65</v>
      </c>
      <c r="B4">
        <v>3172.6364000000003</v>
      </c>
      <c r="C4">
        <v>14842.089199999999</v>
      </c>
      <c r="D4">
        <v>0</v>
      </c>
      <c r="E4">
        <v>3280.039600000001</v>
      </c>
      <c r="F4">
        <v>42545.888800000001</v>
      </c>
      <c r="G4">
        <v>63840.653600000005</v>
      </c>
      <c r="H4">
        <f>G4-C4</f>
        <v>48998.564400000003</v>
      </c>
      <c r="I4">
        <v>116073.9172</v>
      </c>
      <c r="J4">
        <f t="shared" ref="J4:J9" si="0">H4*(1/0.55)</f>
        <v>89088.29890909091</v>
      </c>
    </row>
    <row r="5" spans="1:10" x14ac:dyDescent="0.3">
      <c r="A5" t="s">
        <v>66</v>
      </c>
      <c r="B5">
        <f>AVERAGE(B3:B4)</f>
        <v>2923.3730000000005</v>
      </c>
      <c r="C5">
        <f t="shared" ref="C5:I5" si="1">AVERAGE(C3:C4)</f>
        <v>12743.449199999999</v>
      </c>
      <c r="D5">
        <f t="shared" si="1"/>
        <v>0</v>
      </c>
      <c r="E5">
        <f t="shared" si="1"/>
        <v>2795.9382000000005</v>
      </c>
      <c r="F5">
        <f t="shared" si="1"/>
        <v>38302.934399999998</v>
      </c>
      <c r="G5">
        <f t="shared" si="1"/>
        <v>56765.694200000005</v>
      </c>
      <c r="H5">
        <f>AVERAGE(H3:H4)</f>
        <v>44022.24500000001</v>
      </c>
      <c r="I5">
        <f t="shared" si="1"/>
        <v>103210.35387272728</v>
      </c>
      <c r="J5">
        <f t="shared" si="0"/>
        <v>80040.445454545465</v>
      </c>
    </row>
    <row r="6" spans="1:10" x14ac:dyDescent="0.3">
      <c r="A6" t="s">
        <v>67</v>
      </c>
      <c r="B6">
        <f>B5*240</f>
        <v>701609.52000000014</v>
      </c>
      <c r="C6">
        <f t="shared" ref="C6:I6" si="2">C5*240</f>
        <v>3058427.8079999997</v>
      </c>
      <c r="D6">
        <f t="shared" si="2"/>
        <v>0</v>
      </c>
      <c r="E6">
        <f t="shared" si="2"/>
        <v>671025.16800000006</v>
      </c>
      <c r="F6">
        <f t="shared" si="2"/>
        <v>9192704.2559999991</v>
      </c>
      <c r="G6">
        <f t="shared" si="2"/>
        <v>13623766.608000001</v>
      </c>
      <c r="H6">
        <f>H5*240</f>
        <v>10565338.800000003</v>
      </c>
      <c r="I6">
        <f t="shared" si="2"/>
        <v>24770484.929454546</v>
      </c>
      <c r="J6">
        <f t="shared" si="0"/>
        <v>19209706.909090914</v>
      </c>
    </row>
    <row r="7" spans="1:10" ht="15.6" x14ac:dyDescent="0.3">
      <c r="A7" s="44" t="s">
        <v>68</v>
      </c>
      <c r="B7" s="45"/>
      <c r="C7" s="45"/>
      <c r="D7" s="45"/>
      <c r="E7" s="45"/>
      <c r="F7" s="45"/>
      <c r="G7" s="45"/>
      <c r="H7" s="45"/>
      <c r="I7" s="46"/>
    </row>
    <row r="8" spans="1:10" x14ac:dyDescent="0.3">
      <c r="A8" t="s">
        <v>69</v>
      </c>
      <c r="B8">
        <v>2184.6415999999999</v>
      </c>
      <c r="C8">
        <v>10975.310000000001</v>
      </c>
      <c r="D8">
        <v>0</v>
      </c>
      <c r="E8">
        <v>2301.7952</v>
      </c>
      <c r="F8">
        <v>32049.986800000002</v>
      </c>
      <c r="G8">
        <v>47511.733199999995</v>
      </c>
      <c r="H8">
        <f>G8-C8</f>
        <v>36536.42319999999</v>
      </c>
      <c r="I8">
        <v>86384.969199999992</v>
      </c>
      <c r="J8">
        <f t="shared" si="0"/>
        <v>66429.86036363634</v>
      </c>
    </row>
    <row r="9" spans="1:10" x14ac:dyDescent="0.3">
      <c r="A9" t="s">
        <v>70</v>
      </c>
      <c r="B9">
        <f>B8*125</f>
        <v>273080.2</v>
      </c>
      <c r="C9">
        <f t="shared" ref="C9:I9" si="3">C8*125</f>
        <v>1371913.7500000002</v>
      </c>
      <c r="D9">
        <f t="shared" si="3"/>
        <v>0</v>
      </c>
      <c r="E9">
        <f t="shared" si="3"/>
        <v>287724.40000000002</v>
      </c>
      <c r="F9">
        <f t="shared" si="3"/>
        <v>4006248.35</v>
      </c>
      <c r="G9">
        <f t="shared" si="3"/>
        <v>5938966.6499999994</v>
      </c>
      <c r="H9">
        <f t="shared" si="3"/>
        <v>4567052.8999999985</v>
      </c>
      <c r="I9">
        <f t="shared" si="3"/>
        <v>10798121.149999999</v>
      </c>
      <c r="J9">
        <f t="shared" si="0"/>
        <v>8303732.5454545422</v>
      </c>
    </row>
    <row r="11" spans="1:10" x14ac:dyDescent="0.3">
      <c r="A11" s="30" t="s">
        <v>71</v>
      </c>
      <c r="B11" s="30">
        <f>(B$6+B$9)</f>
        <v>974689.7200000002</v>
      </c>
      <c r="C11" s="30">
        <f t="shared" ref="C11:I11" si="4">(C$6+C$9)</f>
        <v>4430341.5580000002</v>
      </c>
      <c r="D11" s="30">
        <f t="shared" si="4"/>
        <v>0</v>
      </c>
      <c r="E11" s="30">
        <f t="shared" si="4"/>
        <v>958749.56800000009</v>
      </c>
      <c r="F11" s="30">
        <f t="shared" si="4"/>
        <v>13198952.605999999</v>
      </c>
      <c r="G11" s="30">
        <f t="shared" si="4"/>
        <v>19562733.258000001</v>
      </c>
      <c r="H11" s="30">
        <f>H6+H9</f>
        <v>15132391.700000001</v>
      </c>
      <c r="I11" s="31">
        <f t="shared" si="4"/>
        <v>35568606.079454541</v>
      </c>
      <c r="J11" s="31">
        <f>(J$6+J$9)</f>
        <v>27513439.454545457</v>
      </c>
    </row>
    <row r="12" spans="1:10" ht="17.399999999999999" x14ac:dyDescent="0.45">
      <c r="J12" s="32" t="s">
        <v>73</v>
      </c>
    </row>
    <row r="16" spans="1:10" ht="17.399999999999999" x14ac:dyDescent="0.45">
      <c r="A16" s="37" t="s">
        <v>74</v>
      </c>
      <c r="B16" s="38">
        <f>'[1]FINAL COST'!$J$11/J11</f>
        <v>3.9028485029236988</v>
      </c>
      <c r="C16" s="37" t="s">
        <v>75</v>
      </c>
    </row>
  </sheetData>
  <mergeCells count="2">
    <mergeCell ref="A1:I1"/>
    <mergeCell ref="A7:I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14-12-2025 Sunday</vt:lpstr>
      <vt:lpstr>17-12-2025 Wednesday</vt:lpstr>
      <vt:lpstr>19-12-2025 Friday</vt:lpstr>
      <vt:lpstr>Final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2026-06-18T13:37:50Z</dcterms:created>
  <dcterms:modified xsi:type="dcterms:W3CDTF">2026-07-02T07:11:59Z</dcterms:modified>
</cp:coreProperties>
</file>
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Primary Analysis\Mohakhali\"/>
    </mc:Choice>
  </mc:AlternateContent>
  <xr:revisionPtr revIDLastSave="0" documentId="13_ncr:1_{D7ED4172-104E-4B30-ABEA-C397A82237FB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14-12-25" sheetId="1" r:id="rId1"/>
    <sheet name="17-12-25" sheetId="2" r:id="rId2"/>
    <sheet name="19-12-25" sheetId="3" r:id="rId3"/>
    <sheet name="Sheet1" sheetId="4" r:id="rId4"/>
  </sheets>
  <externalReferences>
    <externalReference r:id="rId5"/>
  </externalReference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9" i="4" l="1"/>
  <c r="H9" i="4"/>
  <c r="J9" i="4" s="1"/>
  <c r="G9" i="4"/>
  <c r="F9" i="4"/>
  <c r="E9" i="4"/>
  <c r="D9" i="4"/>
  <c r="C9" i="4"/>
  <c r="B9" i="4"/>
  <c r="J8" i="4"/>
  <c r="H8" i="4"/>
  <c r="G6" i="4"/>
  <c r="G11" i="4" s="1"/>
  <c r="F6" i="4"/>
  <c r="F11" i="4" s="1"/>
  <c r="E6" i="4"/>
  <c r="E11" i="4" s="1"/>
  <c r="D6" i="4"/>
  <c r="D11" i="4" s="1"/>
  <c r="C6" i="4"/>
  <c r="C11" i="4" s="1"/>
  <c r="B6" i="4"/>
  <c r="B11" i="4" s="1"/>
  <c r="I5" i="4"/>
  <c r="I6" i="4" s="1"/>
  <c r="I11" i="4" s="1"/>
  <c r="G5" i="4"/>
  <c r="F5" i="4"/>
  <c r="E5" i="4"/>
  <c r="D5" i="4"/>
  <c r="C5" i="4"/>
  <c r="B5" i="4"/>
  <c r="J4" i="4"/>
  <c r="H4" i="4"/>
  <c r="I3" i="4"/>
  <c r="H3" i="4"/>
  <c r="H5" i="4" s="1"/>
  <c r="K113" i="3"/>
  <c r="J113" i="3"/>
  <c r="I113" i="3"/>
  <c r="H113" i="3"/>
  <c r="G113" i="3"/>
  <c r="F113" i="3"/>
  <c r="E113" i="3"/>
  <c r="D113" i="3"/>
  <c r="C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13" i="3" s="1"/>
  <c r="K97" i="3"/>
  <c r="J97" i="3"/>
  <c r="I97" i="3"/>
  <c r="H97" i="3"/>
  <c r="G97" i="3"/>
  <c r="F97" i="3"/>
  <c r="E97" i="3"/>
  <c r="D97" i="3"/>
  <c r="C97" i="3"/>
  <c r="L96" i="3"/>
  <c r="L95" i="3"/>
  <c r="L94" i="3"/>
  <c r="L93" i="3"/>
  <c r="L92" i="3"/>
  <c r="L91" i="3"/>
  <c r="L90" i="3"/>
  <c r="L89" i="3"/>
  <c r="L88" i="3"/>
  <c r="L87" i="3"/>
  <c r="L86" i="3"/>
  <c r="L85" i="3"/>
  <c r="L97" i="3" s="1"/>
  <c r="K81" i="3"/>
  <c r="J81" i="3"/>
  <c r="I81" i="3"/>
  <c r="H81" i="3"/>
  <c r="G81" i="3"/>
  <c r="F81" i="3"/>
  <c r="E81" i="3"/>
  <c r="D81" i="3"/>
  <c r="C81" i="3"/>
  <c r="L80" i="3"/>
  <c r="L79" i="3"/>
  <c r="L78" i="3"/>
  <c r="L77" i="3"/>
  <c r="L76" i="3"/>
  <c r="L75" i="3"/>
  <c r="L74" i="3"/>
  <c r="L73" i="3"/>
  <c r="L72" i="3"/>
  <c r="L71" i="3"/>
  <c r="L81" i="3" s="1"/>
  <c r="L70" i="3"/>
  <c r="L69" i="3"/>
  <c r="K65" i="3"/>
  <c r="J65" i="3"/>
  <c r="I65" i="3"/>
  <c r="H65" i="3"/>
  <c r="G65" i="3"/>
  <c r="F65" i="3"/>
  <c r="E65" i="3"/>
  <c r="D65" i="3"/>
  <c r="C65" i="3"/>
  <c r="L64" i="3"/>
  <c r="L63" i="3"/>
  <c r="L62" i="3"/>
  <c r="L61" i="3"/>
  <c r="L60" i="3"/>
  <c r="L59" i="3"/>
  <c r="L58" i="3"/>
  <c r="L57" i="3"/>
  <c r="L65" i="3" s="1"/>
  <c r="L56" i="3"/>
  <c r="L55" i="3"/>
  <c r="L54" i="3"/>
  <c r="L53" i="3"/>
  <c r="K49" i="3"/>
  <c r="J49" i="3"/>
  <c r="I49" i="3"/>
  <c r="H49" i="3"/>
  <c r="G49" i="3"/>
  <c r="F49" i="3"/>
  <c r="E49" i="3"/>
  <c r="D49" i="3"/>
  <c r="C49" i="3"/>
  <c r="L48" i="3"/>
  <c r="L47" i="3"/>
  <c r="L46" i="3"/>
  <c r="L45" i="3"/>
  <c r="L44" i="3"/>
  <c r="L43" i="3"/>
  <c r="L42" i="3"/>
  <c r="L41" i="3"/>
  <c r="L40" i="3"/>
  <c r="L39" i="3"/>
  <c r="L49" i="3" s="1"/>
  <c r="L38" i="3"/>
  <c r="L37" i="3"/>
  <c r="K33" i="3"/>
  <c r="J33" i="3"/>
  <c r="I33" i="3"/>
  <c r="H33" i="3"/>
  <c r="G33" i="3"/>
  <c r="F33" i="3"/>
  <c r="E33" i="3"/>
  <c r="D33" i="3"/>
  <c r="C33" i="3"/>
  <c r="L32" i="3"/>
  <c r="L31" i="3"/>
  <c r="L30" i="3"/>
  <c r="L29" i="3"/>
  <c r="L28" i="3"/>
  <c r="L27" i="3"/>
  <c r="L26" i="3"/>
  <c r="L25" i="3"/>
  <c r="L24" i="3"/>
  <c r="L23" i="3"/>
  <c r="L22" i="3"/>
  <c r="L21" i="3"/>
  <c r="L33" i="3" s="1"/>
  <c r="K17" i="3"/>
  <c r="J17" i="3"/>
  <c r="I17" i="3"/>
  <c r="H17" i="3"/>
  <c r="G17" i="3"/>
  <c r="F17" i="3"/>
  <c r="E17" i="3"/>
  <c r="D17" i="3"/>
  <c r="C17" i="3"/>
  <c r="L16" i="3"/>
  <c r="L15" i="3"/>
  <c r="L14" i="3"/>
  <c r="L13" i="3"/>
  <c r="L12" i="3"/>
  <c r="L11" i="3"/>
  <c r="L10" i="3"/>
  <c r="L9" i="3"/>
  <c r="L8" i="3"/>
  <c r="L7" i="3"/>
  <c r="L6" i="3"/>
  <c r="L17" i="3" s="1"/>
  <c r="L5" i="3"/>
  <c r="K113" i="2"/>
  <c r="J113" i="2"/>
  <c r="I113" i="2"/>
  <c r="H113" i="2"/>
  <c r="G113" i="2"/>
  <c r="F113" i="2"/>
  <c r="E113" i="2"/>
  <c r="D113" i="2"/>
  <c r="C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13" i="2" s="1"/>
  <c r="K97" i="2"/>
  <c r="J97" i="2"/>
  <c r="I97" i="2"/>
  <c r="H97" i="2"/>
  <c r="G97" i="2"/>
  <c r="F97" i="2"/>
  <c r="E97" i="2"/>
  <c r="D97" i="2"/>
  <c r="C97" i="2"/>
  <c r="L96" i="2"/>
  <c r="L95" i="2"/>
  <c r="L94" i="2"/>
  <c r="L93" i="2"/>
  <c r="L92" i="2"/>
  <c r="L91" i="2"/>
  <c r="L90" i="2"/>
  <c r="L89" i="2"/>
  <c r="L88" i="2"/>
  <c r="L87" i="2"/>
  <c r="L86" i="2"/>
  <c r="L97" i="2" s="1"/>
  <c r="L85" i="2"/>
  <c r="K81" i="2"/>
  <c r="J81" i="2"/>
  <c r="I81" i="2"/>
  <c r="H81" i="2"/>
  <c r="G81" i="2"/>
  <c r="F81" i="2"/>
  <c r="E81" i="2"/>
  <c r="D81" i="2"/>
  <c r="C81" i="2"/>
  <c r="L80" i="2"/>
  <c r="L79" i="2"/>
  <c r="L78" i="2"/>
  <c r="L77" i="2"/>
  <c r="L76" i="2"/>
  <c r="L75" i="2"/>
  <c r="L74" i="2"/>
  <c r="L73" i="2"/>
  <c r="L72" i="2"/>
  <c r="L71" i="2"/>
  <c r="L70" i="2"/>
  <c r="L69" i="2"/>
  <c r="L81" i="2" s="1"/>
  <c r="K65" i="2"/>
  <c r="J65" i="2"/>
  <c r="I65" i="2"/>
  <c r="H65" i="2"/>
  <c r="G65" i="2"/>
  <c r="F65" i="2"/>
  <c r="E65" i="2"/>
  <c r="D65" i="2"/>
  <c r="C65" i="2"/>
  <c r="L64" i="2"/>
  <c r="L63" i="2"/>
  <c r="L62" i="2"/>
  <c r="L61" i="2"/>
  <c r="L60" i="2"/>
  <c r="L59" i="2"/>
  <c r="L58" i="2"/>
  <c r="L57" i="2"/>
  <c r="L56" i="2"/>
  <c r="L55" i="2"/>
  <c r="L65" i="2" s="1"/>
  <c r="L54" i="2"/>
  <c r="L53" i="2"/>
  <c r="K49" i="2"/>
  <c r="J49" i="2"/>
  <c r="I49" i="2"/>
  <c r="H49" i="2"/>
  <c r="G49" i="2"/>
  <c r="F49" i="2"/>
  <c r="E49" i="2"/>
  <c r="D49" i="2"/>
  <c r="C49" i="2"/>
  <c r="L48" i="2"/>
  <c r="L47" i="2"/>
  <c r="L46" i="2"/>
  <c r="L45" i="2"/>
  <c r="L44" i="2"/>
  <c r="L43" i="2"/>
  <c r="L42" i="2"/>
  <c r="L41" i="2"/>
  <c r="L40" i="2"/>
  <c r="L49" i="2" s="1"/>
  <c r="L39" i="2"/>
  <c r="L38" i="2"/>
  <c r="L37" i="2"/>
  <c r="K33" i="2"/>
  <c r="J33" i="2"/>
  <c r="I33" i="2"/>
  <c r="H33" i="2"/>
  <c r="G33" i="2"/>
  <c r="F33" i="2"/>
  <c r="E33" i="2"/>
  <c r="D33" i="2"/>
  <c r="C33" i="2"/>
  <c r="L32" i="2"/>
  <c r="L31" i="2"/>
  <c r="L30" i="2"/>
  <c r="L29" i="2"/>
  <c r="L28" i="2"/>
  <c r="L27" i="2"/>
  <c r="L26" i="2"/>
  <c r="L25" i="2"/>
  <c r="L24" i="2"/>
  <c r="L23" i="2"/>
  <c r="L33" i="2" s="1"/>
  <c r="L22" i="2"/>
  <c r="L21" i="2"/>
  <c r="K17" i="2"/>
  <c r="J17" i="2"/>
  <c r="I17" i="2"/>
  <c r="H17" i="2"/>
  <c r="G17" i="2"/>
  <c r="F17" i="2"/>
  <c r="E17" i="2"/>
  <c r="D17" i="2"/>
  <c r="C17" i="2"/>
  <c r="L16" i="2"/>
  <c r="L15" i="2"/>
  <c r="L14" i="2"/>
  <c r="L13" i="2"/>
  <c r="L12" i="2"/>
  <c r="L11" i="2"/>
  <c r="L10" i="2"/>
  <c r="L9" i="2"/>
  <c r="L8" i="2"/>
  <c r="L7" i="2"/>
  <c r="L6" i="2"/>
  <c r="L5" i="2"/>
  <c r="L17" i="2" s="1"/>
  <c r="K113" i="1"/>
  <c r="J113" i="1"/>
  <c r="I113" i="1"/>
  <c r="H113" i="1"/>
  <c r="G113" i="1"/>
  <c r="F113" i="1"/>
  <c r="E113" i="1"/>
  <c r="D113" i="1"/>
  <c r="C113" i="1"/>
  <c r="L112" i="1"/>
  <c r="L111" i="1"/>
  <c r="L110" i="1"/>
  <c r="L109" i="1"/>
  <c r="L108" i="1"/>
  <c r="L107" i="1"/>
  <c r="L106" i="1"/>
  <c r="L113" i="1" s="1"/>
  <c r="L105" i="1"/>
  <c r="L104" i="1"/>
  <c r="L103" i="1"/>
  <c r="L102" i="1"/>
  <c r="L101" i="1"/>
  <c r="K97" i="1"/>
  <c r="J97" i="1"/>
  <c r="I97" i="1"/>
  <c r="H97" i="1"/>
  <c r="G97" i="1"/>
  <c r="F97" i="1"/>
  <c r="E97" i="1"/>
  <c r="D97" i="1"/>
  <c r="C97" i="1"/>
  <c r="L96" i="1"/>
  <c r="L95" i="1"/>
  <c r="L94" i="1"/>
  <c r="L93" i="1"/>
  <c r="L92" i="1"/>
  <c r="L91" i="1"/>
  <c r="L90" i="1"/>
  <c r="L89" i="1"/>
  <c r="L88" i="1"/>
  <c r="L87" i="1"/>
  <c r="L86" i="1"/>
  <c r="L85" i="1"/>
  <c r="L97" i="1" s="1"/>
  <c r="K81" i="1"/>
  <c r="J81" i="1"/>
  <c r="I81" i="1"/>
  <c r="H81" i="1"/>
  <c r="G81" i="1"/>
  <c r="F81" i="1"/>
  <c r="E81" i="1"/>
  <c r="D81" i="1"/>
  <c r="C81" i="1"/>
  <c r="L80" i="1"/>
  <c r="L79" i="1"/>
  <c r="L78" i="1"/>
  <c r="L77" i="1"/>
  <c r="L76" i="1"/>
  <c r="L75" i="1"/>
  <c r="L74" i="1"/>
  <c r="L73" i="1"/>
  <c r="L72" i="1"/>
  <c r="L71" i="1"/>
  <c r="L70" i="1"/>
  <c r="L81" i="1" s="1"/>
  <c r="L69" i="1"/>
  <c r="K65" i="1"/>
  <c r="J65" i="1"/>
  <c r="I65" i="1"/>
  <c r="H65" i="1"/>
  <c r="G65" i="1"/>
  <c r="F65" i="1"/>
  <c r="E65" i="1"/>
  <c r="D65" i="1"/>
  <c r="C65" i="1"/>
  <c r="L64" i="1"/>
  <c r="L63" i="1"/>
  <c r="L62" i="1"/>
  <c r="L61" i="1"/>
  <c r="L60" i="1"/>
  <c r="L59" i="1"/>
  <c r="L58" i="1"/>
  <c r="L57" i="1"/>
  <c r="L56" i="1"/>
  <c r="L55" i="1"/>
  <c r="L54" i="1"/>
  <c r="L53" i="1"/>
  <c r="L65" i="1" s="1"/>
  <c r="K49" i="1"/>
  <c r="J49" i="1"/>
  <c r="I49" i="1"/>
  <c r="H49" i="1"/>
  <c r="G49" i="1"/>
  <c r="F49" i="1"/>
  <c r="E49" i="1"/>
  <c r="D49" i="1"/>
  <c r="C49" i="1"/>
  <c r="L48" i="1"/>
  <c r="L47" i="1"/>
  <c r="L46" i="1"/>
  <c r="L45" i="1"/>
  <c r="L44" i="1"/>
  <c r="L43" i="1"/>
  <c r="L42" i="1"/>
  <c r="L41" i="1"/>
  <c r="L40" i="1"/>
  <c r="L39" i="1"/>
  <c r="L49" i="1" s="1"/>
  <c r="L38" i="1"/>
  <c r="L37" i="1"/>
  <c r="K33" i="1"/>
  <c r="J33" i="1"/>
  <c r="I33" i="1"/>
  <c r="H33" i="1"/>
  <c r="G33" i="1"/>
  <c r="F33" i="1"/>
  <c r="E33" i="1"/>
  <c r="D33" i="1"/>
  <c r="C33" i="1"/>
  <c r="L32" i="1"/>
  <c r="L31" i="1"/>
  <c r="L30" i="1"/>
  <c r="L29" i="1"/>
  <c r="L28" i="1"/>
  <c r="L27" i="1"/>
  <c r="L26" i="1"/>
  <c r="L25" i="1"/>
  <c r="L24" i="1"/>
  <c r="L33" i="1" s="1"/>
  <c r="L23" i="1"/>
  <c r="L22" i="1"/>
  <c r="L21" i="1"/>
  <c r="K17" i="1"/>
  <c r="J17" i="1"/>
  <c r="I17" i="1"/>
  <c r="H17" i="1"/>
  <c r="G17" i="1"/>
  <c r="F17" i="1"/>
  <c r="E17" i="1"/>
  <c r="D17" i="1"/>
  <c r="C17" i="1"/>
  <c r="L16" i="1"/>
  <c r="L15" i="1"/>
  <c r="L14" i="1"/>
  <c r="L13" i="1"/>
  <c r="L12" i="1"/>
  <c r="L11" i="1"/>
  <c r="L10" i="1"/>
  <c r="L9" i="1"/>
  <c r="L8" i="1"/>
  <c r="L7" i="1"/>
  <c r="L17" i="1" s="1"/>
  <c r="L6" i="1"/>
  <c r="L5" i="1"/>
  <c r="H6" i="4" l="1"/>
  <c r="J5" i="4"/>
  <c r="J3" i="4"/>
  <c r="H11" i="4" l="1"/>
  <c r="J6" i="4"/>
  <c r="J11" i="4" s="1"/>
  <c r="B16" i="4" s="1"/>
</calcChain>
</file>

<file path=xl/sharedStrings.xml><?xml version="1.0" encoding="utf-8"?>
<sst xmlns="http://schemas.openxmlformats.org/spreadsheetml/2006/main" count="823" uniqueCount="60">
  <si>
    <t>Cost Summary — 14-12-25</t>
  </si>
  <si>
    <t>Volume  (count)</t>
  </si>
  <si>
    <t>Session</t>
  </si>
  <si>
    <t>Period</t>
  </si>
  <si>
    <t>rickshaw</t>
  </si>
  <si>
    <t>car</t>
  </si>
  <si>
    <t>van</t>
  </si>
  <si>
    <t>bicycle</t>
  </si>
  <si>
    <t>leguna</t>
  </si>
  <si>
    <t>bike</t>
  </si>
  <si>
    <t>truck</t>
  </si>
  <si>
    <t>bus</t>
  </si>
  <si>
    <t>cng</t>
  </si>
  <si>
    <t>Total</t>
  </si>
  <si>
    <t>Morning</t>
  </si>
  <si>
    <t>0800-0815</t>
  </si>
  <si>
    <t>0830-0845</t>
  </si>
  <si>
    <t>0900-0915</t>
  </si>
  <si>
    <t>0930-0945</t>
  </si>
  <si>
    <t>Afternoon</t>
  </si>
  <si>
    <t>1200-1215</t>
  </si>
  <si>
    <t>1230-1245</t>
  </si>
  <si>
    <t>1300-1315</t>
  </si>
  <si>
    <t>1330-1345</t>
  </si>
  <si>
    <t>Evening</t>
  </si>
  <si>
    <t>1700-1715</t>
  </si>
  <si>
    <t>1730-1745</t>
  </si>
  <si>
    <t>1800-1815</t>
  </si>
  <si>
    <t>1830-1845</t>
  </si>
  <si>
    <t>GRAND TOTAL</t>
  </si>
  <si>
    <t>Travel-Time Cost  (BDT)</t>
  </si>
  <si>
    <t>Fuel-Loss Cost  (BDT)</t>
  </si>
  <si>
    <t>Electricity Cost  (BDT)</t>
  </si>
  <si>
    <t>Pollution Cost  (BDT)</t>
  </si>
  <si>
    <t>VOC  (BDT)</t>
  </si>
  <si>
    <t>Total Cost  (BDT)</t>
  </si>
  <si>
    <t>Cost Summary — 17-12-25</t>
  </si>
  <si>
    <t>Cost Summary — 19-12-25</t>
  </si>
  <si>
    <t>For weekdays</t>
  </si>
  <si>
    <t>Time
Period (considering 12 hrs daylight in a day)</t>
  </si>
  <si>
    <t>Travel
Time Cost
(BDT)</t>
  </si>
  <si>
    <t>Fuel
Cost
(BDT)</t>
  </si>
  <si>
    <t>Electricity
Cost (BDT)</t>
  </si>
  <si>
    <t>Pollution
Cost (BDT)</t>
  </si>
  <si>
    <t>Total VOC
(BDT)</t>
  </si>
  <si>
    <t>Total Cost
Per Camera
(BDT)</t>
  </si>
  <si>
    <t>Total Cost
Per Camera Excluding Fuel+Electricity
(BDT)</t>
  </si>
  <si>
    <t>Total Cost
Intersection
@D=0.55 (BDT)</t>
  </si>
  <si>
    <t>Total Cost
Intersection
@D=0.55 (BDT) Excluding Fuel+Electricity</t>
  </si>
  <si>
    <t>Sunday</t>
  </si>
  <si>
    <t>Wednesday</t>
  </si>
  <si>
    <t>Average</t>
  </si>
  <si>
    <t>for 240 working days</t>
  </si>
  <si>
    <t>For Weekends</t>
  </si>
  <si>
    <t>Friday</t>
  </si>
  <si>
    <t>for 125 days</t>
  </si>
  <si>
    <t>Grand Total</t>
  </si>
  <si>
    <t>2 CRORE 75 LAKH 13 THOUSAND 439 TAKA ANNUALLY</t>
  </si>
  <si>
    <t xml:space="preserve">KHILGAON'S LOSS IS </t>
  </si>
  <si>
    <t>TIMES HIGHER THAN MOHAKHALI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</si>
</sst>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\-"/>
  </numFmts>
  <fonts count="16" x14ac:knownFonts="1">
    <font>
      <sz val="11"/>
      <color theme="1"/>
      <name val="Calibri"/>
      <family val="2"/>
      <charset val="1"/>
    </font>
    <font>
      <b/>
      <sz val="14"/>
      <color rgb="FFC00000"/>
      <name val="Arial"/>
      <charset val="1"/>
    </font>
    <font>
      <b/>
      <sz val="12"/>
      <color rgb="FF1F4E78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4"/>
      <color rgb="FF3F3F76"/>
      <name val="Times New Roman"/>
      <family val="1"/>
    </font>
    <font>
      <b/>
      <sz val="9"/>
      <name val="Arial"/>
      <charset val="1"/>
    </font>
    <font>
      <b/>
      <sz val="9"/>
      <name val="Arial"/>
      <family val="2"/>
    </font>
    <font>
      <b/>
      <sz val="12"/>
      <color rgb="FF3F3F76"/>
      <name val="Times New Roman"/>
      <family val="1"/>
    </font>
    <font>
      <b/>
      <sz val="11"/>
      <color rgb="FF006100"/>
      <name val="Times New Roman"/>
      <family val="1"/>
    </font>
    <font>
      <b/>
      <sz val="11"/>
      <color theme="1"/>
      <name val="Arial Black"/>
      <family val="2"/>
    </font>
    <font>
      <sz val="11"/>
      <color theme="1"/>
      <name val="ADLaM Display"/>
    </font>
    <font>
      <sz val="11"/>
      <color theme="1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E2EFDA"/>
      </patternFill>
    </fill>
    <fill>
      <patternFill patternType="solid">
        <fgColor rgb="FFD9D9D9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BDD7EE"/>
        <bgColor rgb="FFD9E1F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3">
    <xf numFmtId="0" fontId="0" fillId="0" borderId="0"/>
    <xf numFmtId="0" fontId="7" fillId="8" borderId="2" applyNumberFormat="0" applyAlignment="0" applyProtection="0"/>
    <xf numFmtId="0" fontId="6" fillId="7" borderId="0" applyNumberFormat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7" fillId="8" borderId="2" xfId="1"/>
    <xf numFmtId="0" fontId="9" fillId="9" borderId="6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2" fillId="7" borderId="2" xfId="2" applyFont="1" applyBorder="1"/>
    <xf numFmtId="2" fontId="12" fillId="7" borderId="2" xfId="2" applyNumberFormat="1" applyFont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8" fillId="8" borderId="3" xfId="1" applyFont="1" applyBorder="1" applyAlignment="1">
      <alignment horizontal="center"/>
    </xf>
    <xf numFmtId="0" fontId="8" fillId="8" borderId="4" xfId="1" applyFont="1" applyBorder="1" applyAlignment="1">
      <alignment horizontal="center"/>
    </xf>
    <xf numFmtId="0" fontId="8" fillId="8" borderId="5" xfId="1" applyFont="1" applyBorder="1" applyAlignment="1">
      <alignment horizontal="center"/>
    </xf>
    <xf numFmtId="0" fontId="11" fillId="8" borderId="3" xfId="1" applyFont="1" applyBorder="1" applyAlignment="1">
      <alignment horizontal="center"/>
    </xf>
    <xf numFmtId="0" fontId="7" fillId="8" borderId="4" xfId="1" applyBorder="1" applyAlignment="1">
      <alignment horizontal="center"/>
    </xf>
    <xf numFmtId="0" fontId="7" fillId="8" borderId="5" xfId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</cellXfs>
  <cellStyles count="3">
    <cellStyle name="Good" xfId="2" builtinId="26"/>
    <cellStyle name="Input" xfId="1" builtinId="20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Khilgaon/Khilgaon_Traffic_Summary.xlsx" TargetMode="External"/><Relationship Id="rId2" Type="http://schemas.openxmlformats.org/officeDocument/2006/relationships/externalLinkPath" Target="file:///G:\Primary%20Analysis\Khilgaon\Khilgaon_Traffic_Summary.xlsx" TargetMode="External"/><Relationship Id="rId1" Type="http://schemas.openxmlformats.org/officeDocument/2006/relationships/externalLinkPath" Target="/Primary%20Analysis/Khilgaon/Khilgaon_Traffic_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4-12-2025 Sunday"/>
      <sheetName val="17-12-2025 Wednesday"/>
      <sheetName val="19-12-2025 Friday"/>
      <sheetName val="FINAL COST"/>
    </sheetNames>
    <sheetDataSet>
      <sheetData sheetId="0"/>
      <sheetData sheetId="1"/>
      <sheetData sheetId="2"/>
      <sheetData sheetId="3">
        <row r="11">
          <cell r="J11">
            <v>107380785.98545456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3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2" width="12" customWidth="1"/>
    <col min="3" max="11" width="10" customWidth="1"/>
    <col min="12" max="12" width="12" customWidth="1"/>
  </cols>
  <sheetData>
    <row r="1" spans="1:12" ht="17.399999999999999" x14ac:dyDescent="0.3">
      <c r="A1" s="1" t="s">
        <v>0</v>
      </c>
    </row>
    <row r="3" spans="1:12" ht="15.6" x14ac:dyDescent="0.3">
      <c r="A3" s="2" t="s">
        <v>1</v>
      </c>
    </row>
    <row r="4" spans="1:12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 x14ac:dyDescent="0.3">
      <c r="A5" s="4" t="s">
        <v>14</v>
      </c>
      <c r="B5" s="5" t="s">
        <v>15</v>
      </c>
      <c r="C5" s="6">
        <v>0</v>
      </c>
      <c r="D5" s="6">
        <v>160</v>
      </c>
      <c r="E5" s="6">
        <v>1</v>
      </c>
      <c r="F5" s="6">
        <v>5</v>
      </c>
      <c r="G5" s="6">
        <v>0</v>
      </c>
      <c r="H5" s="6">
        <v>51</v>
      </c>
      <c r="I5" s="6">
        <v>3</v>
      </c>
      <c r="J5" s="6">
        <v>20</v>
      </c>
      <c r="K5" s="6">
        <v>87</v>
      </c>
      <c r="L5" s="7">
        <f t="shared" ref="L5:L16" si="0">SUM(C5:K5)</f>
        <v>327</v>
      </c>
    </row>
    <row r="6" spans="1:12" x14ac:dyDescent="0.3">
      <c r="A6" s="4" t="s">
        <v>14</v>
      </c>
      <c r="B6" s="5" t="s">
        <v>16</v>
      </c>
      <c r="C6" s="6">
        <v>0</v>
      </c>
      <c r="D6" s="6">
        <v>100</v>
      </c>
      <c r="E6" s="6">
        <v>1</v>
      </c>
      <c r="F6" s="6">
        <v>5</v>
      </c>
      <c r="G6" s="6">
        <v>0</v>
      </c>
      <c r="H6" s="6">
        <v>45</v>
      </c>
      <c r="I6" s="6">
        <v>2</v>
      </c>
      <c r="J6" s="6">
        <v>15</v>
      </c>
      <c r="K6" s="6">
        <v>103</v>
      </c>
      <c r="L6" s="7">
        <f t="shared" si="0"/>
        <v>271</v>
      </c>
    </row>
    <row r="7" spans="1:12" x14ac:dyDescent="0.3">
      <c r="A7" s="4" t="s">
        <v>14</v>
      </c>
      <c r="B7" s="5" t="s">
        <v>17</v>
      </c>
      <c r="C7" s="6">
        <v>0</v>
      </c>
      <c r="D7" s="6">
        <v>160</v>
      </c>
      <c r="E7" s="6">
        <v>1</v>
      </c>
      <c r="F7" s="6">
        <v>5</v>
      </c>
      <c r="G7" s="6">
        <v>0</v>
      </c>
      <c r="H7" s="6">
        <v>59</v>
      </c>
      <c r="I7" s="6">
        <v>3</v>
      </c>
      <c r="J7" s="6">
        <v>23</v>
      </c>
      <c r="K7" s="6">
        <v>85</v>
      </c>
      <c r="L7" s="7">
        <f t="shared" si="0"/>
        <v>336</v>
      </c>
    </row>
    <row r="8" spans="1:12" x14ac:dyDescent="0.3">
      <c r="A8" s="4" t="s">
        <v>14</v>
      </c>
      <c r="B8" s="5" t="s">
        <v>18</v>
      </c>
      <c r="C8" s="6">
        <v>0</v>
      </c>
      <c r="D8" s="6">
        <v>211</v>
      </c>
      <c r="E8" s="6">
        <v>0</v>
      </c>
      <c r="F8" s="6">
        <v>9</v>
      </c>
      <c r="G8" s="6">
        <v>0</v>
      </c>
      <c r="H8" s="6">
        <v>91</v>
      </c>
      <c r="I8" s="6">
        <v>4</v>
      </c>
      <c r="J8" s="6">
        <v>23</v>
      </c>
      <c r="K8" s="6">
        <v>98</v>
      </c>
      <c r="L8" s="7">
        <f t="shared" si="0"/>
        <v>436</v>
      </c>
    </row>
    <row r="9" spans="1:12" x14ac:dyDescent="0.3">
      <c r="A9" s="8" t="s">
        <v>19</v>
      </c>
      <c r="B9" s="5" t="s">
        <v>20</v>
      </c>
      <c r="C9" s="6">
        <v>0</v>
      </c>
      <c r="D9" s="6">
        <v>103</v>
      </c>
      <c r="E9" s="6">
        <v>2</v>
      </c>
      <c r="F9" s="6">
        <v>5</v>
      </c>
      <c r="G9" s="6">
        <v>0</v>
      </c>
      <c r="H9" s="6">
        <v>61</v>
      </c>
      <c r="I9" s="6">
        <v>11</v>
      </c>
      <c r="J9" s="6">
        <v>17</v>
      </c>
      <c r="K9" s="6">
        <v>69</v>
      </c>
      <c r="L9" s="7">
        <f t="shared" si="0"/>
        <v>268</v>
      </c>
    </row>
    <row r="10" spans="1:12" x14ac:dyDescent="0.3">
      <c r="A10" s="8" t="s">
        <v>19</v>
      </c>
      <c r="B10" s="5" t="s">
        <v>21</v>
      </c>
      <c r="C10" s="6">
        <v>0</v>
      </c>
      <c r="D10" s="6">
        <v>109</v>
      </c>
      <c r="E10" s="6">
        <v>1</v>
      </c>
      <c r="F10" s="6">
        <v>10</v>
      </c>
      <c r="G10" s="6">
        <v>0</v>
      </c>
      <c r="H10" s="6">
        <v>82</v>
      </c>
      <c r="I10" s="6">
        <v>6</v>
      </c>
      <c r="J10" s="6">
        <v>14</v>
      </c>
      <c r="K10" s="6">
        <v>57</v>
      </c>
      <c r="L10" s="7">
        <f t="shared" si="0"/>
        <v>279</v>
      </c>
    </row>
    <row r="11" spans="1:12" x14ac:dyDescent="0.3">
      <c r="A11" s="8" t="s">
        <v>19</v>
      </c>
      <c r="B11" s="5" t="s">
        <v>22</v>
      </c>
      <c r="C11" s="6">
        <v>0</v>
      </c>
      <c r="D11" s="6">
        <v>154</v>
      </c>
      <c r="E11" s="6">
        <v>0</v>
      </c>
      <c r="F11" s="6">
        <v>6</v>
      </c>
      <c r="G11" s="6">
        <v>0</v>
      </c>
      <c r="H11" s="6">
        <v>46</v>
      </c>
      <c r="I11" s="6">
        <v>5</v>
      </c>
      <c r="J11" s="6">
        <v>27</v>
      </c>
      <c r="K11" s="6">
        <v>70</v>
      </c>
      <c r="L11" s="7">
        <f t="shared" si="0"/>
        <v>308</v>
      </c>
    </row>
    <row r="12" spans="1:12" x14ac:dyDescent="0.3">
      <c r="A12" s="8" t="s">
        <v>19</v>
      </c>
      <c r="B12" s="5" t="s">
        <v>23</v>
      </c>
      <c r="C12" s="6">
        <v>0</v>
      </c>
      <c r="D12" s="6">
        <v>155</v>
      </c>
      <c r="E12" s="6">
        <v>2</v>
      </c>
      <c r="F12" s="6">
        <v>6</v>
      </c>
      <c r="G12" s="6">
        <v>0</v>
      </c>
      <c r="H12" s="6">
        <v>88</v>
      </c>
      <c r="I12" s="6">
        <v>9</v>
      </c>
      <c r="J12" s="6">
        <v>24</v>
      </c>
      <c r="K12" s="6">
        <v>72</v>
      </c>
      <c r="L12" s="7">
        <f t="shared" si="0"/>
        <v>356</v>
      </c>
    </row>
    <row r="13" spans="1:12" x14ac:dyDescent="0.3">
      <c r="A13" s="9" t="s">
        <v>24</v>
      </c>
      <c r="B13" s="5" t="s">
        <v>25</v>
      </c>
      <c r="C13" s="6">
        <v>0</v>
      </c>
      <c r="D13" s="6">
        <v>151</v>
      </c>
      <c r="E13" s="6">
        <v>0</v>
      </c>
      <c r="F13" s="6">
        <v>2</v>
      </c>
      <c r="G13" s="6">
        <v>0</v>
      </c>
      <c r="H13" s="6">
        <v>103</v>
      </c>
      <c r="I13" s="6">
        <v>12</v>
      </c>
      <c r="J13" s="6">
        <v>20</v>
      </c>
      <c r="K13" s="6">
        <v>74</v>
      </c>
      <c r="L13" s="7">
        <f t="shared" si="0"/>
        <v>362</v>
      </c>
    </row>
    <row r="14" spans="1:12" x14ac:dyDescent="0.3">
      <c r="A14" s="9" t="s">
        <v>24</v>
      </c>
      <c r="B14" s="5" t="s">
        <v>26</v>
      </c>
      <c r="C14" s="6">
        <v>0</v>
      </c>
      <c r="D14" s="6">
        <v>179</v>
      </c>
      <c r="E14" s="6">
        <v>0</v>
      </c>
      <c r="F14" s="6">
        <v>0</v>
      </c>
      <c r="G14" s="6">
        <v>0</v>
      </c>
      <c r="H14" s="6">
        <v>73</v>
      </c>
      <c r="I14" s="6">
        <v>7</v>
      </c>
      <c r="J14" s="6">
        <v>28</v>
      </c>
      <c r="K14" s="6">
        <v>48</v>
      </c>
      <c r="L14" s="7">
        <f t="shared" si="0"/>
        <v>335</v>
      </c>
    </row>
    <row r="15" spans="1:12" x14ac:dyDescent="0.3">
      <c r="A15" s="9" t="s">
        <v>24</v>
      </c>
      <c r="B15" s="5" t="s">
        <v>27</v>
      </c>
      <c r="C15" s="6">
        <v>0</v>
      </c>
      <c r="D15" s="6">
        <v>116</v>
      </c>
      <c r="E15" s="6">
        <v>0</v>
      </c>
      <c r="F15" s="6">
        <v>1</v>
      </c>
      <c r="G15" s="6">
        <v>0</v>
      </c>
      <c r="H15" s="6">
        <v>41</v>
      </c>
      <c r="I15" s="6">
        <v>6</v>
      </c>
      <c r="J15" s="6">
        <v>13</v>
      </c>
      <c r="K15" s="6">
        <v>49</v>
      </c>
      <c r="L15" s="7">
        <f t="shared" si="0"/>
        <v>226</v>
      </c>
    </row>
    <row r="16" spans="1:12" x14ac:dyDescent="0.3">
      <c r="A16" s="9" t="s">
        <v>24</v>
      </c>
      <c r="B16" s="5" t="s">
        <v>28</v>
      </c>
      <c r="C16" s="6">
        <v>0</v>
      </c>
      <c r="D16" s="6">
        <v>142</v>
      </c>
      <c r="E16" s="6">
        <v>0</v>
      </c>
      <c r="F16" s="6">
        <v>0</v>
      </c>
      <c r="G16" s="6">
        <v>0</v>
      </c>
      <c r="H16" s="6">
        <v>41</v>
      </c>
      <c r="I16" s="6">
        <v>1</v>
      </c>
      <c r="J16" s="6">
        <v>13</v>
      </c>
      <c r="K16" s="6">
        <v>45</v>
      </c>
      <c r="L16" s="7">
        <f t="shared" si="0"/>
        <v>242</v>
      </c>
    </row>
    <row r="17" spans="1:12" x14ac:dyDescent="0.3">
      <c r="A17" s="27" t="s">
        <v>29</v>
      </c>
      <c r="B17" s="27"/>
      <c r="C17" s="7">
        <f t="shared" ref="C17:L17" si="1">SUM(C5:C16)</f>
        <v>0</v>
      </c>
      <c r="D17" s="7">
        <f t="shared" si="1"/>
        <v>1740</v>
      </c>
      <c r="E17" s="7">
        <f t="shared" si="1"/>
        <v>8</v>
      </c>
      <c r="F17" s="7">
        <f t="shared" si="1"/>
        <v>54</v>
      </c>
      <c r="G17" s="7">
        <f t="shared" si="1"/>
        <v>0</v>
      </c>
      <c r="H17" s="7">
        <f t="shared" si="1"/>
        <v>781</v>
      </c>
      <c r="I17" s="7">
        <f t="shared" si="1"/>
        <v>69</v>
      </c>
      <c r="J17" s="7">
        <f t="shared" si="1"/>
        <v>237</v>
      </c>
      <c r="K17" s="7">
        <f t="shared" si="1"/>
        <v>857</v>
      </c>
      <c r="L17" s="7">
        <f t="shared" si="1"/>
        <v>3746</v>
      </c>
    </row>
    <row r="19" spans="1:12" ht="15.6" x14ac:dyDescent="0.3">
      <c r="A19" s="2" t="s">
        <v>30</v>
      </c>
    </row>
    <row r="20" spans="1:12" x14ac:dyDescent="0.3">
      <c r="A20" s="3" t="s">
        <v>2</v>
      </c>
      <c r="B20" s="3" t="s">
        <v>3</v>
      </c>
      <c r="C20" s="3" t="s">
        <v>4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9</v>
      </c>
      <c r="I20" s="3" t="s">
        <v>10</v>
      </c>
      <c r="J20" s="3" t="s">
        <v>11</v>
      </c>
      <c r="K20" s="3" t="s">
        <v>12</v>
      </c>
      <c r="L20" s="3" t="s">
        <v>13</v>
      </c>
    </row>
    <row r="21" spans="1:12" x14ac:dyDescent="0.3">
      <c r="A21" s="4" t="s">
        <v>14</v>
      </c>
      <c r="B21" s="5" t="s">
        <v>15</v>
      </c>
      <c r="C21" s="10">
        <v>0</v>
      </c>
      <c r="D21" s="10">
        <v>43.452599999999997</v>
      </c>
      <c r="E21" s="10">
        <v>2.2599999999999999E-2</v>
      </c>
      <c r="F21" s="10">
        <v>0.1132</v>
      </c>
      <c r="G21" s="10">
        <v>0</v>
      </c>
      <c r="H21" s="10">
        <v>2.3083999999999998</v>
      </c>
      <c r="I21" s="10">
        <v>0.1358</v>
      </c>
      <c r="J21" s="10">
        <v>2.7158000000000002</v>
      </c>
      <c r="K21" s="10">
        <v>9.8446999999999996</v>
      </c>
      <c r="L21" s="11">
        <f t="shared" ref="L21:L32" si="2">SUM(C21:K21)</f>
        <v>58.593099999999993</v>
      </c>
    </row>
    <row r="22" spans="1:12" x14ac:dyDescent="0.3">
      <c r="A22" s="4" t="s">
        <v>14</v>
      </c>
      <c r="B22" s="5" t="s">
        <v>16</v>
      </c>
      <c r="C22" s="10">
        <v>0</v>
      </c>
      <c r="D22" s="10">
        <v>27.0182</v>
      </c>
      <c r="E22" s="10">
        <v>2.2499999999999999E-2</v>
      </c>
      <c r="F22" s="10">
        <v>0.11260000000000001</v>
      </c>
      <c r="G22" s="10">
        <v>0</v>
      </c>
      <c r="H22" s="10">
        <v>2.0264000000000002</v>
      </c>
      <c r="I22" s="10">
        <v>9.01E-2</v>
      </c>
      <c r="J22" s="10">
        <v>2.0264000000000002</v>
      </c>
      <c r="K22" s="10">
        <v>11.5953</v>
      </c>
      <c r="L22" s="11">
        <f t="shared" si="2"/>
        <v>42.891500000000001</v>
      </c>
    </row>
    <row r="23" spans="1:12" x14ac:dyDescent="0.3">
      <c r="A23" s="4" t="s">
        <v>14</v>
      </c>
      <c r="B23" s="5" t="s">
        <v>17</v>
      </c>
      <c r="C23" s="10">
        <v>0</v>
      </c>
      <c r="D23" s="10">
        <v>57.5535</v>
      </c>
      <c r="E23" s="10">
        <v>0.03</v>
      </c>
      <c r="F23" s="10">
        <v>0.14990000000000001</v>
      </c>
      <c r="G23" s="10">
        <v>0</v>
      </c>
      <c r="H23" s="10">
        <v>3.5371000000000001</v>
      </c>
      <c r="I23" s="10">
        <v>0.1799</v>
      </c>
      <c r="J23" s="10">
        <v>4.1367000000000003</v>
      </c>
      <c r="K23" s="10">
        <v>12.739699999999999</v>
      </c>
      <c r="L23" s="11">
        <f t="shared" si="2"/>
        <v>78.326800000000006</v>
      </c>
    </row>
    <row r="24" spans="1:12" x14ac:dyDescent="0.3">
      <c r="A24" s="4" t="s">
        <v>14</v>
      </c>
      <c r="B24" s="5" t="s">
        <v>18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1">
        <f t="shared" si="2"/>
        <v>0</v>
      </c>
    </row>
    <row r="25" spans="1:12" x14ac:dyDescent="0.3">
      <c r="A25" s="8" t="s">
        <v>19</v>
      </c>
      <c r="B25" s="5" t="s">
        <v>20</v>
      </c>
      <c r="C25" s="10">
        <v>0</v>
      </c>
      <c r="D25" s="10">
        <v>49.500700000000002</v>
      </c>
      <c r="E25" s="10">
        <v>8.0100000000000005E-2</v>
      </c>
      <c r="F25" s="10">
        <v>0.20019999999999999</v>
      </c>
      <c r="G25" s="10">
        <v>0</v>
      </c>
      <c r="H25" s="10">
        <v>4.8860000000000001</v>
      </c>
      <c r="I25" s="10">
        <v>0.88109999999999999</v>
      </c>
      <c r="J25" s="10">
        <v>4.085</v>
      </c>
      <c r="K25" s="10">
        <v>13.8169</v>
      </c>
      <c r="L25" s="11">
        <f t="shared" si="2"/>
        <v>73.45</v>
      </c>
    </row>
    <row r="26" spans="1:12" x14ac:dyDescent="0.3">
      <c r="A26" s="8" t="s">
        <v>19</v>
      </c>
      <c r="B26" s="5" t="s">
        <v>21</v>
      </c>
      <c r="C26" s="10">
        <v>0</v>
      </c>
      <c r="D26" s="10">
        <v>34.493099999999998</v>
      </c>
      <c r="E26" s="10">
        <v>2.64E-2</v>
      </c>
      <c r="F26" s="10">
        <v>0.26369999999999999</v>
      </c>
      <c r="G26" s="10">
        <v>0</v>
      </c>
      <c r="H26" s="10">
        <v>4.3247999999999998</v>
      </c>
      <c r="I26" s="10">
        <v>0.3165</v>
      </c>
      <c r="J26" s="10">
        <v>2.2151999999999998</v>
      </c>
      <c r="K26" s="10">
        <v>7.5156999999999998</v>
      </c>
      <c r="L26" s="11">
        <f t="shared" si="2"/>
        <v>49.155400000000007</v>
      </c>
    </row>
    <row r="27" spans="1:12" x14ac:dyDescent="0.3">
      <c r="A27" s="8" t="s">
        <v>19</v>
      </c>
      <c r="B27" s="5" t="s">
        <v>22</v>
      </c>
      <c r="C27" s="10">
        <v>0</v>
      </c>
      <c r="D27" s="10">
        <v>41.026699999999998</v>
      </c>
      <c r="E27" s="10">
        <v>0</v>
      </c>
      <c r="F27" s="10">
        <v>0.13320000000000001</v>
      </c>
      <c r="G27" s="10">
        <v>0</v>
      </c>
      <c r="H27" s="10">
        <v>2.0425</v>
      </c>
      <c r="I27" s="10">
        <v>0.222</v>
      </c>
      <c r="J27" s="10">
        <v>3.5964999999999998</v>
      </c>
      <c r="K27" s="10">
        <v>7.7702</v>
      </c>
      <c r="L27" s="11">
        <f t="shared" si="2"/>
        <v>54.7911</v>
      </c>
    </row>
    <row r="28" spans="1:12" x14ac:dyDescent="0.3">
      <c r="A28" s="8" t="s">
        <v>19</v>
      </c>
      <c r="B28" s="5" t="s">
        <v>23</v>
      </c>
      <c r="C28" s="10">
        <v>0</v>
      </c>
      <c r="D28" s="10">
        <v>40.151499999999999</v>
      </c>
      <c r="E28" s="10">
        <v>4.3200000000000002E-2</v>
      </c>
      <c r="F28" s="10">
        <v>0.1295</v>
      </c>
      <c r="G28" s="10">
        <v>0</v>
      </c>
      <c r="H28" s="10">
        <v>3.7993000000000001</v>
      </c>
      <c r="I28" s="10">
        <v>0.3886</v>
      </c>
      <c r="J28" s="10">
        <v>3.1084999999999998</v>
      </c>
      <c r="K28" s="10">
        <v>7.7713000000000001</v>
      </c>
      <c r="L28" s="11">
        <f t="shared" si="2"/>
        <v>55.391899999999993</v>
      </c>
    </row>
    <row r="29" spans="1:12" x14ac:dyDescent="0.3">
      <c r="A29" s="9" t="s">
        <v>24</v>
      </c>
      <c r="B29" s="5" t="s">
        <v>25</v>
      </c>
      <c r="C29" s="10">
        <v>0</v>
      </c>
      <c r="D29" s="10">
        <v>64.698599999999999</v>
      </c>
      <c r="E29" s="10">
        <v>0</v>
      </c>
      <c r="F29" s="10">
        <v>7.1400000000000005E-2</v>
      </c>
      <c r="G29" s="10">
        <v>0</v>
      </c>
      <c r="H29" s="10">
        <v>7.3554000000000004</v>
      </c>
      <c r="I29" s="10">
        <v>0.8569</v>
      </c>
      <c r="J29" s="10">
        <v>4.2847</v>
      </c>
      <c r="K29" s="10">
        <v>13.2111</v>
      </c>
      <c r="L29" s="11">
        <f t="shared" si="2"/>
        <v>90.478099999999998</v>
      </c>
    </row>
    <row r="30" spans="1:12" x14ac:dyDescent="0.3">
      <c r="A30" s="9" t="s">
        <v>24</v>
      </c>
      <c r="B30" s="5" t="s">
        <v>26</v>
      </c>
      <c r="C30" s="10">
        <v>0</v>
      </c>
      <c r="D30" s="10">
        <v>67.017600000000002</v>
      </c>
      <c r="E30" s="10">
        <v>0</v>
      </c>
      <c r="F30" s="10">
        <v>0</v>
      </c>
      <c r="G30" s="10">
        <v>0</v>
      </c>
      <c r="H30" s="10">
        <v>4.5552000000000001</v>
      </c>
      <c r="I30" s="10">
        <v>0.43680000000000002</v>
      </c>
      <c r="J30" s="10">
        <v>5.2416</v>
      </c>
      <c r="K30" s="10">
        <v>7.4880000000000004</v>
      </c>
      <c r="L30" s="11">
        <f t="shared" si="2"/>
        <v>84.739200000000011</v>
      </c>
    </row>
    <row r="31" spans="1:12" x14ac:dyDescent="0.3">
      <c r="A31" s="9" t="s">
        <v>24</v>
      </c>
      <c r="B31" s="5" t="s">
        <v>27</v>
      </c>
      <c r="C31" s="10">
        <v>0</v>
      </c>
      <c r="D31" s="10">
        <v>26.310700000000001</v>
      </c>
      <c r="E31" s="10">
        <v>0</v>
      </c>
      <c r="F31" s="10">
        <v>1.89E-2</v>
      </c>
      <c r="G31" s="10">
        <v>0</v>
      </c>
      <c r="H31" s="10">
        <v>1.5499000000000001</v>
      </c>
      <c r="I31" s="10">
        <v>0.2268</v>
      </c>
      <c r="J31" s="10">
        <v>1.4742999999999999</v>
      </c>
      <c r="K31" s="10">
        <v>4.6307999999999998</v>
      </c>
      <c r="L31" s="11">
        <f t="shared" si="2"/>
        <v>34.211399999999998</v>
      </c>
    </row>
    <row r="32" spans="1:12" x14ac:dyDescent="0.3">
      <c r="A32" s="9" t="s">
        <v>24</v>
      </c>
      <c r="B32" s="5" t="s">
        <v>28</v>
      </c>
      <c r="C32" s="10">
        <v>0</v>
      </c>
      <c r="D32" s="10">
        <v>37.8932</v>
      </c>
      <c r="E32" s="10">
        <v>0</v>
      </c>
      <c r="F32" s="10">
        <v>0</v>
      </c>
      <c r="G32" s="10">
        <v>0</v>
      </c>
      <c r="H32" s="10">
        <v>1.8234999999999999</v>
      </c>
      <c r="I32" s="10">
        <v>4.4499999999999998E-2</v>
      </c>
      <c r="J32" s="10">
        <v>1.7344999999999999</v>
      </c>
      <c r="K32" s="10">
        <v>5.0034999999999998</v>
      </c>
      <c r="L32" s="11">
        <f t="shared" si="2"/>
        <v>46.499200000000002</v>
      </c>
    </row>
    <row r="33" spans="1:12" x14ac:dyDescent="0.3">
      <c r="A33" s="27" t="s">
        <v>29</v>
      </c>
      <c r="B33" s="27"/>
      <c r="C33" s="11">
        <f t="shared" ref="C33:L33" si="3">SUM(C21:C32)</f>
        <v>0</v>
      </c>
      <c r="D33" s="11">
        <f t="shared" si="3"/>
        <v>489.11639999999994</v>
      </c>
      <c r="E33" s="11">
        <f t="shared" si="3"/>
        <v>0.2248</v>
      </c>
      <c r="F33" s="11">
        <f t="shared" si="3"/>
        <v>1.1925999999999999</v>
      </c>
      <c r="G33" s="11">
        <f t="shared" si="3"/>
        <v>0</v>
      </c>
      <c r="H33" s="11">
        <f t="shared" si="3"/>
        <v>38.208500000000001</v>
      </c>
      <c r="I33" s="11">
        <f t="shared" si="3"/>
        <v>3.7789999999999999</v>
      </c>
      <c r="J33" s="11">
        <f t="shared" si="3"/>
        <v>34.619199999999999</v>
      </c>
      <c r="K33" s="11">
        <f t="shared" si="3"/>
        <v>101.38720000000001</v>
      </c>
      <c r="L33" s="11">
        <f t="shared" si="3"/>
        <v>668.52769999999998</v>
      </c>
    </row>
    <row r="35" spans="1:12" ht="15.6" x14ac:dyDescent="0.3">
      <c r="A35" s="2" t="s">
        <v>31</v>
      </c>
    </row>
    <row r="36" spans="1:12" x14ac:dyDescent="0.3">
      <c r="A36" s="3" t="s">
        <v>2</v>
      </c>
      <c r="B36" s="3" t="s">
        <v>3</v>
      </c>
      <c r="C36" s="3" t="s">
        <v>4</v>
      </c>
      <c r="D36" s="3" t="s">
        <v>5</v>
      </c>
      <c r="E36" s="3" t="s">
        <v>6</v>
      </c>
      <c r="F36" s="3" t="s">
        <v>7</v>
      </c>
      <c r="G36" s="3" t="s">
        <v>8</v>
      </c>
      <c r="H36" s="3" t="s">
        <v>9</v>
      </c>
      <c r="I36" s="3" t="s">
        <v>10</v>
      </c>
      <c r="J36" s="3" t="s">
        <v>11</v>
      </c>
      <c r="K36" s="3" t="s">
        <v>12</v>
      </c>
      <c r="L36" s="3" t="s">
        <v>13</v>
      </c>
    </row>
    <row r="37" spans="1:12" x14ac:dyDescent="0.3">
      <c r="A37" s="4" t="s">
        <v>14</v>
      </c>
      <c r="B37" s="5" t="s">
        <v>15</v>
      </c>
      <c r="C37" s="10">
        <v>0</v>
      </c>
      <c r="D37" s="10">
        <v>57.625100000000003</v>
      </c>
      <c r="E37" s="10">
        <v>0</v>
      </c>
      <c r="F37" s="10">
        <v>0</v>
      </c>
      <c r="G37" s="10">
        <v>0</v>
      </c>
      <c r="H37" s="10">
        <v>4.6505999999999998</v>
      </c>
      <c r="I37" s="10">
        <v>1.2614000000000001</v>
      </c>
      <c r="J37" s="10">
        <v>7.8052000000000001</v>
      </c>
      <c r="K37" s="10">
        <v>2.01E-2</v>
      </c>
      <c r="L37" s="11">
        <f t="shared" ref="L37:L48" si="4">SUM(C37:K37)</f>
        <v>71.362400000000008</v>
      </c>
    </row>
    <row r="38" spans="1:12" x14ac:dyDescent="0.3">
      <c r="A38" s="4" t="s">
        <v>14</v>
      </c>
      <c r="B38" s="5" t="s">
        <v>16</v>
      </c>
      <c r="C38" s="10">
        <v>0</v>
      </c>
      <c r="D38" s="10">
        <v>514.16189999999995</v>
      </c>
      <c r="E38" s="10">
        <v>0</v>
      </c>
      <c r="F38" s="10">
        <v>0</v>
      </c>
      <c r="G38" s="10">
        <v>0</v>
      </c>
      <c r="H38" s="10">
        <v>58.581600000000002</v>
      </c>
      <c r="I38" s="10">
        <v>12.0054</v>
      </c>
      <c r="J38" s="10">
        <v>83.570800000000006</v>
      </c>
      <c r="K38" s="10">
        <v>0.3392</v>
      </c>
      <c r="L38" s="11">
        <f t="shared" si="4"/>
        <v>668.6588999999999</v>
      </c>
    </row>
    <row r="39" spans="1:12" x14ac:dyDescent="0.3">
      <c r="A39" s="4" t="s">
        <v>14</v>
      </c>
      <c r="B39" s="5" t="s">
        <v>17</v>
      </c>
      <c r="C39" s="10">
        <v>0</v>
      </c>
      <c r="D39" s="10">
        <v>351.03120000000001</v>
      </c>
      <c r="E39" s="10">
        <v>0</v>
      </c>
      <c r="F39" s="10">
        <v>0</v>
      </c>
      <c r="G39" s="10">
        <v>0</v>
      </c>
      <c r="H39" s="10">
        <v>32.773800000000001</v>
      </c>
      <c r="I39" s="10">
        <v>7.6840999999999999</v>
      </c>
      <c r="J39" s="10">
        <v>54.678600000000003</v>
      </c>
      <c r="K39" s="10">
        <v>0.11940000000000001</v>
      </c>
      <c r="L39" s="11">
        <f t="shared" si="4"/>
        <v>446.28710000000001</v>
      </c>
    </row>
    <row r="40" spans="1:12" x14ac:dyDescent="0.3">
      <c r="A40" s="4" t="s">
        <v>14</v>
      </c>
      <c r="B40" s="5" t="s">
        <v>18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1">
        <f t="shared" si="4"/>
        <v>0</v>
      </c>
    </row>
    <row r="41" spans="1:12" x14ac:dyDescent="0.3">
      <c r="A41" s="8" t="s">
        <v>19</v>
      </c>
      <c r="B41" s="5" t="s">
        <v>20</v>
      </c>
      <c r="C41" s="10">
        <v>0</v>
      </c>
      <c r="D41" s="10">
        <v>129.58359999999999</v>
      </c>
      <c r="E41" s="10">
        <v>0</v>
      </c>
      <c r="F41" s="10">
        <v>0</v>
      </c>
      <c r="G41" s="10">
        <v>0</v>
      </c>
      <c r="H41" s="10">
        <v>19.430800000000001</v>
      </c>
      <c r="I41" s="10">
        <v>16.156700000000001</v>
      </c>
      <c r="J41" s="10">
        <v>23.1753</v>
      </c>
      <c r="K41" s="10">
        <v>5.5599999999999997E-2</v>
      </c>
      <c r="L41" s="11">
        <f t="shared" si="4"/>
        <v>188.40199999999999</v>
      </c>
    </row>
    <row r="42" spans="1:12" x14ac:dyDescent="0.3">
      <c r="A42" s="8" t="s">
        <v>19</v>
      </c>
      <c r="B42" s="5" t="s">
        <v>21</v>
      </c>
      <c r="C42" s="10">
        <v>0</v>
      </c>
      <c r="D42" s="10">
        <v>35.091299999999997</v>
      </c>
      <c r="E42" s="10">
        <v>0</v>
      </c>
      <c r="F42" s="10">
        <v>0</v>
      </c>
      <c r="G42" s="10">
        <v>0</v>
      </c>
      <c r="H42" s="10">
        <v>6.6840000000000002</v>
      </c>
      <c r="I42" s="10">
        <v>2.2551000000000001</v>
      </c>
      <c r="J42" s="10">
        <v>4.8838999999999997</v>
      </c>
      <c r="K42" s="10">
        <v>1.18E-2</v>
      </c>
      <c r="L42" s="11">
        <f t="shared" si="4"/>
        <v>48.926099999999991</v>
      </c>
    </row>
    <row r="43" spans="1:12" x14ac:dyDescent="0.3">
      <c r="A43" s="8" t="s">
        <v>19</v>
      </c>
      <c r="B43" s="5" t="s">
        <v>22</v>
      </c>
      <c r="C43" s="10">
        <v>0</v>
      </c>
      <c r="D43" s="10">
        <v>267.03089999999997</v>
      </c>
      <c r="E43" s="10">
        <v>0</v>
      </c>
      <c r="F43" s="10">
        <v>0</v>
      </c>
      <c r="G43" s="10">
        <v>0</v>
      </c>
      <c r="H43" s="10">
        <v>20.1952</v>
      </c>
      <c r="I43" s="10">
        <v>10.1218</v>
      </c>
      <c r="J43" s="10">
        <v>50.730400000000003</v>
      </c>
      <c r="K43" s="10">
        <v>7.7700000000000005E-2</v>
      </c>
      <c r="L43" s="11">
        <f t="shared" si="4"/>
        <v>348.15600000000001</v>
      </c>
    </row>
    <row r="44" spans="1:12" x14ac:dyDescent="0.3">
      <c r="A44" s="8" t="s">
        <v>19</v>
      </c>
      <c r="B44" s="5" t="s">
        <v>23</v>
      </c>
      <c r="C44" s="10">
        <v>0</v>
      </c>
      <c r="D44" s="10">
        <v>61.6723</v>
      </c>
      <c r="E44" s="10">
        <v>0</v>
      </c>
      <c r="F44" s="10">
        <v>0</v>
      </c>
      <c r="G44" s="10">
        <v>0</v>
      </c>
      <c r="H44" s="10">
        <v>8.8651999999999997</v>
      </c>
      <c r="I44" s="10">
        <v>4.1806999999999999</v>
      </c>
      <c r="J44" s="10">
        <v>10.3475</v>
      </c>
      <c r="K44" s="10">
        <v>1.83E-2</v>
      </c>
      <c r="L44" s="11">
        <f t="shared" si="4"/>
        <v>85.083999999999989</v>
      </c>
    </row>
    <row r="45" spans="1:12" x14ac:dyDescent="0.3">
      <c r="A45" s="9" t="s">
        <v>24</v>
      </c>
      <c r="B45" s="5" t="s">
        <v>25</v>
      </c>
      <c r="C45" s="10">
        <v>0</v>
      </c>
      <c r="D45" s="10">
        <v>105.62609999999999</v>
      </c>
      <c r="E45" s="10">
        <v>0</v>
      </c>
      <c r="F45" s="10">
        <v>0</v>
      </c>
      <c r="G45" s="10">
        <v>0</v>
      </c>
      <c r="H45" s="10">
        <v>18.2423</v>
      </c>
      <c r="I45" s="10">
        <v>9.8000000000000007</v>
      </c>
      <c r="J45" s="10">
        <v>15.159599999999999</v>
      </c>
      <c r="K45" s="10">
        <v>3.32E-2</v>
      </c>
      <c r="L45" s="11">
        <f t="shared" si="4"/>
        <v>148.8612</v>
      </c>
    </row>
    <row r="46" spans="1:12" x14ac:dyDescent="0.3">
      <c r="A46" s="9" t="s">
        <v>24</v>
      </c>
      <c r="B46" s="5" t="s">
        <v>26</v>
      </c>
      <c r="C46" s="10">
        <v>0</v>
      </c>
      <c r="D46" s="10">
        <v>136.39689999999999</v>
      </c>
      <c r="E46" s="10">
        <v>0</v>
      </c>
      <c r="F46" s="10">
        <v>0</v>
      </c>
      <c r="G46" s="10">
        <v>0</v>
      </c>
      <c r="H46" s="10">
        <v>14.0839</v>
      </c>
      <c r="I46" s="10">
        <v>6.2272999999999996</v>
      </c>
      <c r="J46" s="10">
        <v>23.119199999999999</v>
      </c>
      <c r="K46" s="10">
        <v>2.3400000000000001E-2</v>
      </c>
      <c r="L46" s="11">
        <f t="shared" si="4"/>
        <v>179.85070000000002</v>
      </c>
    </row>
    <row r="47" spans="1:12" x14ac:dyDescent="0.3">
      <c r="A47" s="9" t="s">
        <v>24</v>
      </c>
      <c r="B47" s="5" t="s">
        <v>27</v>
      </c>
      <c r="C47" s="10">
        <v>0</v>
      </c>
      <c r="D47" s="10">
        <v>215.2775</v>
      </c>
      <c r="E47" s="10">
        <v>0</v>
      </c>
      <c r="F47" s="10">
        <v>0</v>
      </c>
      <c r="G47" s="10">
        <v>0</v>
      </c>
      <c r="H47" s="10">
        <v>19.2652</v>
      </c>
      <c r="I47" s="10">
        <v>12.9999</v>
      </c>
      <c r="J47" s="10">
        <v>26.142499999999998</v>
      </c>
      <c r="K47" s="10">
        <v>5.8200000000000002E-2</v>
      </c>
      <c r="L47" s="11">
        <f t="shared" si="4"/>
        <v>273.74329999999998</v>
      </c>
    </row>
    <row r="48" spans="1:12" x14ac:dyDescent="0.3">
      <c r="A48" s="9" t="s">
        <v>24</v>
      </c>
      <c r="B48" s="5" t="s">
        <v>28</v>
      </c>
      <c r="C48" s="10">
        <v>0</v>
      </c>
      <c r="D48" s="10">
        <v>170.97059999999999</v>
      </c>
      <c r="E48" s="10">
        <v>0</v>
      </c>
      <c r="F48" s="10">
        <v>0</v>
      </c>
      <c r="G48" s="10">
        <v>0</v>
      </c>
      <c r="H48" s="10">
        <v>12.498699999999999</v>
      </c>
      <c r="I48" s="10">
        <v>1.4056999999999999</v>
      </c>
      <c r="J48" s="10">
        <v>16.960599999999999</v>
      </c>
      <c r="K48" s="10">
        <v>3.4700000000000002E-2</v>
      </c>
      <c r="L48" s="11">
        <f t="shared" si="4"/>
        <v>201.87029999999996</v>
      </c>
    </row>
    <row r="49" spans="1:12" x14ac:dyDescent="0.3">
      <c r="A49" s="27" t="s">
        <v>29</v>
      </c>
      <c r="B49" s="27"/>
      <c r="C49" s="11">
        <f t="shared" ref="C49:L49" si="5">SUM(C37:C48)</f>
        <v>0</v>
      </c>
      <c r="D49" s="11">
        <f t="shared" si="5"/>
        <v>2044.4673999999995</v>
      </c>
      <c r="E49" s="11">
        <f t="shared" si="5"/>
        <v>0</v>
      </c>
      <c r="F49" s="11">
        <f t="shared" si="5"/>
        <v>0</v>
      </c>
      <c r="G49" s="11">
        <f t="shared" si="5"/>
        <v>0</v>
      </c>
      <c r="H49" s="11">
        <f t="shared" si="5"/>
        <v>215.2713</v>
      </c>
      <c r="I49" s="11">
        <f t="shared" si="5"/>
        <v>84.098100000000002</v>
      </c>
      <c r="J49" s="11">
        <f t="shared" si="5"/>
        <v>316.5736</v>
      </c>
      <c r="K49" s="11">
        <f t="shared" si="5"/>
        <v>0.79159999999999997</v>
      </c>
      <c r="L49" s="11">
        <f t="shared" si="5"/>
        <v>2661.2020000000002</v>
      </c>
    </row>
    <row r="51" spans="1:12" ht="15.6" x14ac:dyDescent="0.3">
      <c r="A51" s="2" t="s">
        <v>32</v>
      </c>
    </row>
    <row r="52" spans="1:12" x14ac:dyDescent="0.3">
      <c r="A52" s="3" t="s">
        <v>2</v>
      </c>
      <c r="B52" s="3" t="s">
        <v>3</v>
      </c>
      <c r="C52" s="3" t="s">
        <v>4</v>
      </c>
      <c r="D52" s="3" t="s">
        <v>5</v>
      </c>
      <c r="E52" s="3" t="s">
        <v>6</v>
      </c>
      <c r="F52" s="3" t="s">
        <v>7</v>
      </c>
      <c r="G52" s="3" t="s">
        <v>8</v>
      </c>
      <c r="H52" s="3" t="s">
        <v>9</v>
      </c>
      <c r="I52" s="3" t="s">
        <v>10</v>
      </c>
      <c r="J52" s="3" t="s">
        <v>11</v>
      </c>
      <c r="K52" s="3" t="s">
        <v>12</v>
      </c>
      <c r="L52" s="3" t="s">
        <v>13</v>
      </c>
    </row>
    <row r="53" spans="1:12" x14ac:dyDescent="0.3">
      <c r="A53" s="4" t="s">
        <v>14</v>
      </c>
      <c r="B53" s="5" t="s">
        <v>15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1">
        <f t="shared" ref="L53:L64" si="6">SUM(C53:K53)</f>
        <v>0</v>
      </c>
    </row>
    <row r="54" spans="1:12" x14ac:dyDescent="0.3">
      <c r="A54" s="4" t="s">
        <v>14</v>
      </c>
      <c r="B54" s="5" t="s">
        <v>16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1">
        <f t="shared" si="6"/>
        <v>0</v>
      </c>
    </row>
    <row r="55" spans="1:12" x14ac:dyDescent="0.3">
      <c r="A55" s="4" t="s">
        <v>14</v>
      </c>
      <c r="B55" s="5" t="s">
        <v>17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1">
        <f t="shared" si="6"/>
        <v>0</v>
      </c>
    </row>
    <row r="56" spans="1:12" x14ac:dyDescent="0.3">
      <c r="A56" s="4" t="s">
        <v>14</v>
      </c>
      <c r="B56" s="5" t="s">
        <v>18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1">
        <f t="shared" si="6"/>
        <v>0</v>
      </c>
    </row>
    <row r="57" spans="1:12" x14ac:dyDescent="0.3">
      <c r="A57" s="8" t="s">
        <v>19</v>
      </c>
      <c r="B57" s="5" t="s">
        <v>20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1">
        <f t="shared" si="6"/>
        <v>0</v>
      </c>
    </row>
    <row r="58" spans="1:12" x14ac:dyDescent="0.3">
      <c r="A58" s="8" t="s">
        <v>19</v>
      </c>
      <c r="B58" s="5" t="s">
        <v>21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1">
        <f t="shared" si="6"/>
        <v>0</v>
      </c>
    </row>
    <row r="59" spans="1:12" x14ac:dyDescent="0.3">
      <c r="A59" s="8" t="s">
        <v>19</v>
      </c>
      <c r="B59" s="5" t="s">
        <v>22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1">
        <f t="shared" si="6"/>
        <v>0</v>
      </c>
    </row>
    <row r="60" spans="1:12" x14ac:dyDescent="0.3">
      <c r="A60" s="8" t="s">
        <v>19</v>
      </c>
      <c r="B60" s="5" t="s">
        <v>23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1">
        <f t="shared" si="6"/>
        <v>0</v>
      </c>
    </row>
    <row r="61" spans="1:12" x14ac:dyDescent="0.3">
      <c r="A61" s="9" t="s">
        <v>24</v>
      </c>
      <c r="B61" s="5" t="s">
        <v>25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1">
        <f t="shared" si="6"/>
        <v>0</v>
      </c>
    </row>
    <row r="62" spans="1:12" x14ac:dyDescent="0.3">
      <c r="A62" s="9" t="s">
        <v>24</v>
      </c>
      <c r="B62" s="5" t="s">
        <v>26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1">
        <f t="shared" si="6"/>
        <v>0</v>
      </c>
    </row>
    <row r="63" spans="1:12" x14ac:dyDescent="0.3">
      <c r="A63" s="9" t="s">
        <v>24</v>
      </c>
      <c r="B63" s="5" t="s">
        <v>27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1">
        <f t="shared" si="6"/>
        <v>0</v>
      </c>
    </row>
    <row r="64" spans="1:12" x14ac:dyDescent="0.3">
      <c r="A64" s="9" t="s">
        <v>24</v>
      </c>
      <c r="B64" s="5" t="s">
        <v>28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1">
        <f t="shared" si="6"/>
        <v>0</v>
      </c>
    </row>
    <row r="65" spans="1:12" x14ac:dyDescent="0.3">
      <c r="A65" s="27" t="s">
        <v>29</v>
      </c>
      <c r="B65" s="27"/>
      <c r="C65" s="11">
        <f t="shared" ref="C65:L65" si="7">SUM(C53:C64)</f>
        <v>0</v>
      </c>
      <c r="D65" s="11">
        <f t="shared" si="7"/>
        <v>0</v>
      </c>
      <c r="E65" s="11">
        <f t="shared" si="7"/>
        <v>0</v>
      </c>
      <c r="F65" s="11">
        <f t="shared" si="7"/>
        <v>0</v>
      </c>
      <c r="G65" s="11">
        <f t="shared" si="7"/>
        <v>0</v>
      </c>
      <c r="H65" s="11">
        <f t="shared" si="7"/>
        <v>0</v>
      </c>
      <c r="I65" s="11">
        <f t="shared" si="7"/>
        <v>0</v>
      </c>
      <c r="J65" s="11">
        <f t="shared" si="7"/>
        <v>0</v>
      </c>
      <c r="K65" s="11">
        <f t="shared" si="7"/>
        <v>0</v>
      </c>
      <c r="L65" s="11">
        <f t="shared" si="7"/>
        <v>0</v>
      </c>
    </row>
    <row r="67" spans="1:12" ht="15.6" x14ac:dyDescent="0.3">
      <c r="A67" s="2" t="s">
        <v>33</v>
      </c>
    </row>
    <row r="68" spans="1:12" x14ac:dyDescent="0.3">
      <c r="A68" s="3" t="s">
        <v>2</v>
      </c>
      <c r="B68" s="3" t="s">
        <v>3</v>
      </c>
      <c r="C68" s="3" t="s">
        <v>4</v>
      </c>
      <c r="D68" s="3" t="s">
        <v>5</v>
      </c>
      <c r="E68" s="3" t="s">
        <v>6</v>
      </c>
      <c r="F68" s="3" t="s">
        <v>7</v>
      </c>
      <c r="G68" s="3" t="s">
        <v>8</v>
      </c>
      <c r="H68" s="3" t="s">
        <v>9</v>
      </c>
      <c r="I68" s="3" t="s">
        <v>10</v>
      </c>
      <c r="J68" s="3" t="s">
        <v>11</v>
      </c>
      <c r="K68" s="3" t="s">
        <v>12</v>
      </c>
      <c r="L68" s="3" t="s">
        <v>13</v>
      </c>
    </row>
    <row r="69" spans="1:12" x14ac:dyDescent="0.3">
      <c r="A69" s="4" t="s">
        <v>14</v>
      </c>
      <c r="B69" s="5" t="s">
        <v>15</v>
      </c>
      <c r="C69" s="10">
        <v>0</v>
      </c>
      <c r="D69" s="10">
        <v>5.0911</v>
      </c>
      <c r="E69" s="10">
        <v>0</v>
      </c>
      <c r="F69" s="10">
        <v>0</v>
      </c>
      <c r="G69" s="10">
        <v>0</v>
      </c>
      <c r="H69" s="10">
        <v>0.439</v>
      </c>
      <c r="I69" s="10">
        <v>0.95530000000000004</v>
      </c>
      <c r="J69" s="10">
        <v>4.4005999999999998</v>
      </c>
      <c r="K69" s="10">
        <v>3.4180000000000001</v>
      </c>
      <c r="L69" s="11">
        <f t="shared" ref="L69:L80" si="8">SUM(C69:K69)</f>
        <v>14.303999999999998</v>
      </c>
    </row>
    <row r="70" spans="1:12" x14ac:dyDescent="0.3">
      <c r="A70" s="4" t="s">
        <v>14</v>
      </c>
      <c r="B70" s="5" t="s">
        <v>16</v>
      </c>
      <c r="C70" s="10">
        <v>0</v>
      </c>
      <c r="D70" s="10">
        <v>45.425699999999999</v>
      </c>
      <c r="E70" s="10">
        <v>0</v>
      </c>
      <c r="F70" s="10">
        <v>0</v>
      </c>
      <c r="G70" s="10">
        <v>0</v>
      </c>
      <c r="H70" s="10">
        <v>5.5304000000000002</v>
      </c>
      <c r="I70" s="10">
        <v>9.0923999999999996</v>
      </c>
      <c r="J70" s="10">
        <v>47.117100000000001</v>
      </c>
      <c r="K70" s="10">
        <v>57.770200000000003</v>
      </c>
      <c r="L70" s="11">
        <f t="shared" si="8"/>
        <v>164.9358</v>
      </c>
    </row>
    <row r="71" spans="1:12" x14ac:dyDescent="0.3">
      <c r="A71" s="4" t="s">
        <v>14</v>
      </c>
      <c r="B71" s="5" t="s">
        <v>17</v>
      </c>
      <c r="C71" s="10">
        <v>0</v>
      </c>
      <c r="D71" s="10">
        <v>31.013200000000001</v>
      </c>
      <c r="E71" s="10">
        <v>0</v>
      </c>
      <c r="F71" s="10">
        <v>0</v>
      </c>
      <c r="G71" s="10">
        <v>0</v>
      </c>
      <c r="H71" s="10">
        <v>3.0939999999999999</v>
      </c>
      <c r="I71" s="10">
        <v>5.8196000000000003</v>
      </c>
      <c r="J71" s="10">
        <v>30.8277</v>
      </c>
      <c r="K71" s="10">
        <v>20.3428</v>
      </c>
      <c r="L71" s="11">
        <f t="shared" si="8"/>
        <v>91.097300000000004</v>
      </c>
    </row>
    <row r="72" spans="1:12" x14ac:dyDescent="0.3">
      <c r="A72" s="4" t="s">
        <v>14</v>
      </c>
      <c r="B72" s="5" t="s">
        <v>18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1">
        <f t="shared" si="8"/>
        <v>0</v>
      </c>
    </row>
    <row r="73" spans="1:12" x14ac:dyDescent="0.3">
      <c r="A73" s="8" t="s">
        <v>19</v>
      </c>
      <c r="B73" s="5" t="s">
        <v>20</v>
      </c>
      <c r="C73" s="10">
        <v>0</v>
      </c>
      <c r="D73" s="10">
        <v>11.448600000000001</v>
      </c>
      <c r="E73" s="10">
        <v>0</v>
      </c>
      <c r="F73" s="10">
        <v>0</v>
      </c>
      <c r="G73" s="10">
        <v>0</v>
      </c>
      <c r="H73" s="10">
        <v>1.8344</v>
      </c>
      <c r="I73" s="10">
        <v>12.2364</v>
      </c>
      <c r="J73" s="10">
        <v>13.0662</v>
      </c>
      <c r="K73" s="10">
        <v>9.4695</v>
      </c>
      <c r="L73" s="11">
        <f t="shared" si="8"/>
        <v>48.055099999999996</v>
      </c>
    </row>
    <row r="74" spans="1:12" x14ac:dyDescent="0.3">
      <c r="A74" s="8" t="s">
        <v>19</v>
      </c>
      <c r="B74" s="5" t="s">
        <v>21</v>
      </c>
      <c r="C74" s="10">
        <v>0</v>
      </c>
      <c r="D74" s="10">
        <v>3.1002999999999998</v>
      </c>
      <c r="E74" s="10">
        <v>0</v>
      </c>
      <c r="F74" s="10">
        <v>0</v>
      </c>
      <c r="G74" s="10">
        <v>0</v>
      </c>
      <c r="H74" s="10">
        <v>0.63100000000000001</v>
      </c>
      <c r="I74" s="10">
        <v>1.7079</v>
      </c>
      <c r="J74" s="10">
        <v>2.7534999999999998</v>
      </c>
      <c r="K74" s="10">
        <v>2.0017999999999998</v>
      </c>
      <c r="L74" s="11">
        <f t="shared" si="8"/>
        <v>10.194499999999998</v>
      </c>
    </row>
    <row r="75" spans="1:12" x14ac:dyDescent="0.3">
      <c r="A75" s="8" t="s">
        <v>19</v>
      </c>
      <c r="B75" s="5" t="s">
        <v>22</v>
      </c>
      <c r="C75" s="10">
        <v>0</v>
      </c>
      <c r="D75" s="10">
        <v>23.591899999999999</v>
      </c>
      <c r="E75" s="10">
        <v>0</v>
      </c>
      <c r="F75" s="10">
        <v>0</v>
      </c>
      <c r="G75" s="10">
        <v>0</v>
      </c>
      <c r="H75" s="10">
        <v>1.9065000000000001</v>
      </c>
      <c r="I75" s="10">
        <v>7.6657999999999999</v>
      </c>
      <c r="J75" s="10">
        <v>28.601700000000001</v>
      </c>
      <c r="K75" s="10">
        <v>13.240500000000001</v>
      </c>
      <c r="L75" s="11">
        <f t="shared" si="8"/>
        <v>75.006399999999999</v>
      </c>
    </row>
    <row r="76" spans="1:12" x14ac:dyDescent="0.3">
      <c r="A76" s="8" t="s">
        <v>19</v>
      </c>
      <c r="B76" s="5" t="s">
        <v>23</v>
      </c>
      <c r="C76" s="10">
        <v>0</v>
      </c>
      <c r="D76" s="10">
        <v>5.4486999999999997</v>
      </c>
      <c r="E76" s="10">
        <v>0</v>
      </c>
      <c r="F76" s="10">
        <v>0</v>
      </c>
      <c r="G76" s="10">
        <v>0</v>
      </c>
      <c r="H76" s="10">
        <v>0.83689999999999998</v>
      </c>
      <c r="I76" s="10">
        <v>3.1663000000000001</v>
      </c>
      <c r="J76" s="10">
        <v>5.8338999999999999</v>
      </c>
      <c r="K76" s="10">
        <v>3.1251000000000002</v>
      </c>
      <c r="L76" s="11">
        <f t="shared" si="8"/>
        <v>18.410900000000002</v>
      </c>
    </row>
    <row r="77" spans="1:12" x14ac:dyDescent="0.3">
      <c r="A77" s="9" t="s">
        <v>24</v>
      </c>
      <c r="B77" s="5" t="s">
        <v>25</v>
      </c>
      <c r="C77" s="10">
        <v>0</v>
      </c>
      <c r="D77" s="10">
        <v>9.3320000000000007</v>
      </c>
      <c r="E77" s="10">
        <v>0</v>
      </c>
      <c r="F77" s="10">
        <v>0</v>
      </c>
      <c r="G77" s="10">
        <v>0</v>
      </c>
      <c r="H77" s="10">
        <v>1.7222</v>
      </c>
      <c r="I77" s="10">
        <v>7.4219999999999997</v>
      </c>
      <c r="J77" s="10">
        <v>8.5470000000000006</v>
      </c>
      <c r="K77" s="10">
        <v>5.6467000000000001</v>
      </c>
      <c r="L77" s="11">
        <f t="shared" si="8"/>
        <v>32.669900000000005</v>
      </c>
    </row>
    <row r="78" spans="1:12" x14ac:dyDescent="0.3">
      <c r="A78" s="9" t="s">
        <v>24</v>
      </c>
      <c r="B78" s="5" t="s">
        <v>26</v>
      </c>
      <c r="C78" s="10">
        <v>0</v>
      </c>
      <c r="D78" s="10">
        <v>12.0505</v>
      </c>
      <c r="E78" s="10">
        <v>0</v>
      </c>
      <c r="F78" s="10">
        <v>0</v>
      </c>
      <c r="G78" s="10">
        <v>0</v>
      </c>
      <c r="H78" s="10">
        <v>1.3295999999999999</v>
      </c>
      <c r="I78" s="10">
        <v>4.7161999999999997</v>
      </c>
      <c r="J78" s="10">
        <v>13.034599999999999</v>
      </c>
      <c r="K78" s="10">
        <v>3.9899</v>
      </c>
      <c r="L78" s="11">
        <f t="shared" si="8"/>
        <v>35.120799999999996</v>
      </c>
    </row>
    <row r="79" spans="1:12" x14ac:dyDescent="0.3">
      <c r="A79" s="9" t="s">
        <v>24</v>
      </c>
      <c r="B79" s="5" t="s">
        <v>27</v>
      </c>
      <c r="C79" s="10">
        <v>0</v>
      </c>
      <c r="D79" s="10">
        <v>19.019500000000001</v>
      </c>
      <c r="E79" s="10">
        <v>0</v>
      </c>
      <c r="F79" s="10">
        <v>0</v>
      </c>
      <c r="G79" s="10">
        <v>0</v>
      </c>
      <c r="H79" s="10">
        <v>1.8187</v>
      </c>
      <c r="I79" s="10">
        <v>9.8454999999999995</v>
      </c>
      <c r="J79" s="10">
        <v>14.739100000000001</v>
      </c>
      <c r="K79" s="10">
        <v>9.9198000000000004</v>
      </c>
      <c r="L79" s="11">
        <f t="shared" si="8"/>
        <v>55.342600000000004</v>
      </c>
    </row>
    <row r="80" spans="1:12" x14ac:dyDescent="0.3">
      <c r="A80" s="9" t="s">
        <v>24</v>
      </c>
      <c r="B80" s="5" t="s">
        <v>28</v>
      </c>
      <c r="C80" s="10">
        <v>0</v>
      </c>
      <c r="D80" s="10">
        <v>15.1051</v>
      </c>
      <c r="E80" s="10">
        <v>0</v>
      </c>
      <c r="F80" s="10">
        <v>0</v>
      </c>
      <c r="G80" s="10">
        <v>0</v>
      </c>
      <c r="H80" s="10">
        <v>1.1798999999999999</v>
      </c>
      <c r="I80" s="10">
        <v>1.0646</v>
      </c>
      <c r="J80" s="10">
        <v>9.5623000000000005</v>
      </c>
      <c r="K80" s="10">
        <v>5.9103000000000003</v>
      </c>
      <c r="L80" s="11">
        <f t="shared" si="8"/>
        <v>32.822200000000002</v>
      </c>
    </row>
    <row r="81" spans="1:12" x14ac:dyDescent="0.3">
      <c r="A81" s="27" t="s">
        <v>29</v>
      </c>
      <c r="B81" s="27"/>
      <c r="C81" s="11">
        <f t="shared" ref="C81:L81" si="9">SUM(C69:C80)</f>
        <v>0</v>
      </c>
      <c r="D81" s="11">
        <f t="shared" si="9"/>
        <v>180.6266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1">
        <f t="shared" si="9"/>
        <v>20.322599999999998</v>
      </c>
      <c r="I81" s="11">
        <f t="shared" si="9"/>
        <v>63.691999999999993</v>
      </c>
      <c r="J81" s="11">
        <f t="shared" si="9"/>
        <v>178.4837</v>
      </c>
      <c r="K81" s="11">
        <f t="shared" si="9"/>
        <v>134.83460000000002</v>
      </c>
      <c r="L81" s="11">
        <f t="shared" si="9"/>
        <v>577.95949999999993</v>
      </c>
    </row>
    <row r="83" spans="1:12" ht="15.6" x14ac:dyDescent="0.3">
      <c r="A83" s="2" t="s">
        <v>34</v>
      </c>
    </row>
    <row r="84" spans="1:12" x14ac:dyDescent="0.3">
      <c r="A84" s="3" t="s">
        <v>2</v>
      </c>
      <c r="B84" s="3" t="s">
        <v>3</v>
      </c>
      <c r="C84" s="3" t="s">
        <v>4</v>
      </c>
      <c r="D84" s="3" t="s">
        <v>5</v>
      </c>
      <c r="E84" s="3" t="s">
        <v>6</v>
      </c>
      <c r="F84" s="3" t="s">
        <v>7</v>
      </c>
      <c r="G84" s="3" t="s">
        <v>8</v>
      </c>
      <c r="H84" s="3" t="s">
        <v>9</v>
      </c>
      <c r="I84" s="3" t="s">
        <v>10</v>
      </c>
      <c r="J84" s="3" t="s">
        <v>11</v>
      </c>
      <c r="K84" s="3" t="s">
        <v>12</v>
      </c>
      <c r="L84" s="3" t="s">
        <v>13</v>
      </c>
    </row>
    <row r="85" spans="1:12" x14ac:dyDescent="0.3">
      <c r="A85" s="4" t="s">
        <v>14</v>
      </c>
      <c r="B85" s="5" t="s">
        <v>15</v>
      </c>
      <c r="C85" s="10">
        <v>0</v>
      </c>
      <c r="D85" s="10">
        <v>178.34049999999999</v>
      </c>
      <c r="E85" s="10">
        <v>0.43240000000000001</v>
      </c>
      <c r="F85" s="10">
        <v>4.3139000000000003</v>
      </c>
      <c r="G85" s="10">
        <v>0</v>
      </c>
      <c r="H85" s="10">
        <v>7.7160000000000002</v>
      </c>
      <c r="I85" s="10">
        <v>2.8502000000000001</v>
      </c>
      <c r="J85" s="10">
        <v>18.496099999999998</v>
      </c>
      <c r="K85" s="10">
        <v>16.979199999999999</v>
      </c>
      <c r="L85" s="11">
        <f t="shared" ref="L85:L96" si="10">SUM(C85:K85)</f>
        <v>229.12829999999997</v>
      </c>
    </row>
    <row r="86" spans="1:12" x14ac:dyDescent="0.3">
      <c r="A86" s="4" t="s">
        <v>14</v>
      </c>
      <c r="B86" s="5" t="s">
        <v>16</v>
      </c>
      <c r="C86" s="10">
        <v>0</v>
      </c>
      <c r="D86" s="10">
        <v>1987.5102999999999</v>
      </c>
      <c r="E86" s="10">
        <v>11.111499999999999</v>
      </c>
      <c r="F86" s="10">
        <v>74.344099999999997</v>
      </c>
      <c r="G86" s="10">
        <v>0</v>
      </c>
      <c r="H86" s="10">
        <v>104.5536</v>
      </c>
      <c r="I86" s="10">
        <v>38.028199999999998</v>
      </c>
      <c r="J86" s="10">
        <v>222.2774</v>
      </c>
      <c r="K86" s="10">
        <v>369.3252</v>
      </c>
      <c r="L86" s="11">
        <f t="shared" si="10"/>
        <v>2807.1503000000002</v>
      </c>
    </row>
    <row r="87" spans="1:12" x14ac:dyDescent="0.3">
      <c r="A87" s="4" t="s">
        <v>14</v>
      </c>
      <c r="B87" s="5" t="s">
        <v>17</v>
      </c>
      <c r="C87" s="10">
        <v>0</v>
      </c>
      <c r="D87" s="10">
        <v>840.4529</v>
      </c>
      <c r="E87" s="10">
        <v>1.8965000000000001</v>
      </c>
      <c r="F87" s="10">
        <v>22.719000000000001</v>
      </c>
      <c r="G87" s="10">
        <v>0</v>
      </c>
      <c r="H87" s="10">
        <v>58.827800000000003</v>
      </c>
      <c r="I87" s="10">
        <v>9.8983000000000008</v>
      </c>
      <c r="J87" s="10">
        <v>147.001</v>
      </c>
      <c r="K87" s="10">
        <v>75.667699999999996</v>
      </c>
      <c r="L87" s="11">
        <f t="shared" si="10"/>
        <v>1156.4631999999999</v>
      </c>
    </row>
    <row r="88" spans="1:12" x14ac:dyDescent="0.3">
      <c r="A88" s="4" t="s">
        <v>14</v>
      </c>
      <c r="B88" s="5" t="s">
        <v>18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1">
        <f t="shared" si="10"/>
        <v>0</v>
      </c>
    </row>
    <row r="89" spans="1:12" x14ac:dyDescent="0.3">
      <c r="A89" s="8" t="s">
        <v>19</v>
      </c>
      <c r="B89" s="5" t="s">
        <v>20</v>
      </c>
      <c r="C89" s="10">
        <v>0</v>
      </c>
      <c r="D89" s="10">
        <v>344.16460000000001</v>
      </c>
      <c r="E89" s="10">
        <v>5.2565</v>
      </c>
      <c r="F89" s="10">
        <v>21.673200000000001</v>
      </c>
      <c r="G89" s="10">
        <v>0</v>
      </c>
      <c r="H89" s="10">
        <v>33.904000000000003</v>
      </c>
      <c r="I89" s="10">
        <v>40.532800000000002</v>
      </c>
      <c r="J89" s="10">
        <v>40.5075</v>
      </c>
      <c r="K89" s="10">
        <v>48.838099999999997</v>
      </c>
      <c r="L89" s="11">
        <f t="shared" si="10"/>
        <v>534.87670000000003</v>
      </c>
    </row>
    <row r="90" spans="1:12" x14ac:dyDescent="0.3">
      <c r="A90" s="8" t="s">
        <v>19</v>
      </c>
      <c r="B90" s="5" t="s">
        <v>21</v>
      </c>
      <c r="C90" s="10">
        <v>0</v>
      </c>
      <c r="D90" s="10">
        <v>111.0551</v>
      </c>
      <c r="E90" s="10">
        <v>0.37109999999999999</v>
      </c>
      <c r="F90" s="10">
        <v>8.9105000000000008</v>
      </c>
      <c r="G90" s="10">
        <v>0</v>
      </c>
      <c r="H90" s="10">
        <v>11.155799999999999</v>
      </c>
      <c r="I90" s="10">
        <v>5.6669999999999998</v>
      </c>
      <c r="J90" s="10">
        <v>10.301</v>
      </c>
      <c r="K90" s="10">
        <v>9.7451000000000008</v>
      </c>
      <c r="L90" s="11">
        <f t="shared" si="10"/>
        <v>157.2056</v>
      </c>
    </row>
    <row r="91" spans="1:12" x14ac:dyDescent="0.3">
      <c r="A91" s="8" t="s">
        <v>19</v>
      </c>
      <c r="B91" s="5" t="s">
        <v>22</v>
      </c>
      <c r="C91" s="10">
        <v>0</v>
      </c>
      <c r="D91" s="10">
        <v>709.07910000000004</v>
      </c>
      <c r="E91" s="10">
        <v>0</v>
      </c>
      <c r="F91" s="10">
        <v>27.554300000000001</v>
      </c>
      <c r="G91" s="10">
        <v>0</v>
      </c>
      <c r="H91" s="10">
        <v>31.698799999999999</v>
      </c>
      <c r="I91" s="10">
        <v>21.6737</v>
      </c>
      <c r="J91" s="10">
        <v>94.962400000000002</v>
      </c>
      <c r="K91" s="10">
        <v>61.7577</v>
      </c>
      <c r="L91" s="11">
        <f t="shared" si="10"/>
        <v>946.72600000000011</v>
      </c>
    </row>
    <row r="92" spans="1:12" x14ac:dyDescent="0.3">
      <c r="A92" s="8" t="s">
        <v>19</v>
      </c>
      <c r="B92" s="5" t="s">
        <v>23</v>
      </c>
      <c r="C92" s="10">
        <v>0</v>
      </c>
      <c r="D92" s="10">
        <v>190.9393</v>
      </c>
      <c r="E92" s="10">
        <v>0.89810000000000001</v>
      </c>
      <c r="F92" s="10">
        <v>5.7342000000000004</v>
      </c>
      <c r="G92" s="10">
        <v>0</v>
      </c>
      <c r="H92" s="10">
        <v>15.2509</v>
      </c>
      <c r="I92" s="10">
        <v>12.624700000000001</v>
      </c>
      <c r="J92" s="10">
        <v>24.3049</v>
      </c>
      <c r="K92" s="10">
        <v>18.4207</v>
      </c>
      <c r="L92" s="11">
        <f t="shared" si="10"/>
        <v>268.1728</v>
      </c>
    </row>
    <row r="93" spans="1:12" x14ac:dyDescent="0.3">
      <c r="A93" s="9" t="s">
        <v>24</v>
      </c>
      <c r="B93" s="5" t="s">
        <v>25</v>
      </c>
      <c r="C93" s="10">
        <v>0</v>
      </c>
      <c r="D93" s="10">
        <v>272.77600000000001</v>
      </c>
      <c r="E93" s="10">
        <v>0</v>
      </c>
      <c r="F93" s="10">
        <v>2.8039999999999998</v>
      </c>
      <c r="G93" s="10">
        <v>0</v>
      </c>
      <c r="H93" s="10">
        <v>30.665099999999999</v>
      </c>
      <c r="I93" s="10">
        <v>20.746500000000001</v>
      </c>
      <c r="J93" s="10">
        <v>26.171099999999999</v>
      </c>
      <c r="K93" s="10">
        <v>24.880400000000002</v>
      </c>
      <c r="L93" s="11">
        <f t="shared" si="10"/>
        <v>378.04310000000004</v>
      </c>
    </row>
    <row r="94" spans="1:12" x14ac:dyDescent="0.3">
      <c r="A94" s="9" t="s">
        <v>24</v>
      </c>
      <c r="B94" s="5" t="s">
        <v>26</v>
      </c>
      <c r="C94" s="10">
        <v>0</v>
      </c>
      <c r="D94" s="10">
        <v>404.81909999999999</v>
      </c>
      <c r="E94" s="10">
        <v>0</v>
      </c>
      <c r="F94" s="10">
        <v>0</v>
      </c>
      <c r="G94" s="10">
        <v>0</v>
      </c>
      <c r="H94" s="10">
        <v>19.004899999999999</v>
      </c>
      <c r="I94" s="10">
        <v>17.132899999999999</v>
      </c>
      <c r="J94" s="10">
        <v>51.973100000000002</v>
      </c>
      <c r="K94" s="10">
        <v>18.896999999999998</v>
      </c>
      <c r="L94" s="11">
        <f t="shared" si="10"/>
        <v>511.827</v>
      </c>
    </row>
    <row r="95" spans="1:12" x14ac:dyDescent="0.3">
      <c r="A95" s="9" t="s">
        <v>24</v>
      </c>
      <c r="B95" s="5" t="s">
        <v>27</v>
      </c>
      <c r="C95" s="10">
        <v>0</v>
      </c>
      <c r="D95" s="10">
        <v>751.13739999999996</v>
      </c>
      <c r="E95" s="10">
        <v>0</v>
      </c>
      <c r="F95" s="10">
        <v>3.1882000000000001</v>
      </c>
      <c r="G95" s="10">
        <v>0</v>
      </c>
      <c r="H95" s="10">
        <v>29.9239</v>
      </c>
      <c r="I95" s="10">
        <v>42.550800000000002</v>
      </c>
      <c r="J95" s="10">
        <v>43.356999999999999</v>
      </c>
      <c r="K95" s="10">
        <v>50.857399999999998</v>
      </c>
      <c r="L95" s="11">
        <f t="shared" si="10"/>
        <v>921.01469999999995</v>
      </c>
    </row>
    <row r="96" spans="1:12" x14ac:dyDescent="0.3">
      <c r="A96" s="9" t="s">
        <v>24</v>
      </c>
      <c r="B96" s="5" t="s">
        <v>28</v>
      </c>
      <c r="C96" s="10">
        <v>0</v>
      </c>
      <c r="D96" s="10">
        <v>515.97190000000001</v>
      </c>
      <c r="E96" s="10">
        <v>0</v>
      </c>
      <c r="F96" s="10">
        <v>0</v>
      </c>
      <c r="G96" s="10">
        <v>0</v>
      </c>
      <c r="H96" s="10">
        <v>19.7913</v>
      </c>
      <c r="I96" s="10">
        <v>7.5693000000000001</v>
      </c>
      <c r="J96" s="10">
        <v>29.950399999999998</v>
      </c>
      <c r="K96" s="10">
        <v>31.104299999999999</v>
      </c>
      <c r="L96" s="11">
        <f t="shared" si="10"/>
        <v>604.38719999999989</v>
      </c>
    </row>
    <row r="97" spans="1:12" x14ac:dyDescent="0.3">
      <c r="A97" s="27" t="s">
        <v>29</v>
      </c>
      <c r="B97" s="27"/>
      <c r="C97" s="11">
        <f t="shared" ref="C97:L97" si="11">SUM(C85:C96)</f>
        <v>0</v>
      </c>
      <c r="D97" s="11">
        <f t="shared" si="11"/>
        <v>6306.2461999999996</v>
      </c>
      <c r="E97" s="11">
        <f t="shared" si="11"/>
        <v>19.966099999999997</v>
      </c>
      <c r="F97" s="11">
        <f t="shared" si="11"/>
        <v>171.24140000000003</v>
      </c>
      <c r="G97" s="11">
        <f t="shared" si="11"/>
        <v>0</v>
      </c>
      <c r="H97" s="11">
        <f t="shared" si="11"/>
        <v>362.49209999999999</v>
      </c>
      <c r="I97" s="11">
        <f t="shared" si="11"/>
        <v>219.27440000000001</v>
      </c>
      <c r="J97" s="11">
        <f t="shared" si="11"/>
        <v>709.30189999999993</v>
      </c>
      <c r="K97" s="11">
        <f t="shared" si="11"/>
        <v>726.47280000000001</v>
      </c>
      <c r="L97" s="11">
        <f t="shared" si="11"/>
        <v>8514.9948999999997</v>
      </c>
    </row>
    <row r="99" spans="1:12" ht="15.6" x14ac:dyDescent="0.3">
      <c r="A99" s="2" t="s">
        <v>35</v>
      </c>
    </row>
    <row r="100" spans="1:12" x14ac:dyDescent="0.3">
      <c r="A100" s="3" t="s">
        <v>2</v>
      </c>
      <c r="B100" s="3" t="s">
        <v>3</v>
      </c>
      <c r="C100" s="3" t="s">
        <v>4</v>
      </c>
      <c r="D100" s="3" t="s">
        <v>5</v>
      </c>
      <c r="E100" s="3" t="s">
        <v>6</v>
      </c>
      <c r="F100" s="3" t="s">
        <v>7</v>
      </c>
      <c r="G100" s="3" t="s">
        <v>8</v>
      </c>
      <c r="H100" s="3" t="s">
        <v>9</v>
      </c>
      <c r="I100" s="3" t="s">
        <v>10</v>
      </c>
      <c r="J100" s="3" t="s">
        <v>11</v>
      </c>
      <c r="K100" s="3" t="s">
        <v>12</v>
      </c>
      <c r="L100" s="3" t="s">
        <v>13</v>
      </c>
    </row>
    <row r="101" spans="1:12" x14ac:dyDescent="0.3">
      <c r="A101" s="4" t="s">
        <v>14</v>
      </c>
      <c r="B101" s="5" t="s">
        <v>15</v>
      </c>
      <c r="C101" s="10">
        <v>0</v>
      </c>
      <c r="D101" s="10">
        <v>284.50940000000003</v>
      </c>
      <c r="E101" s="10">
        <v>0.45500000000000002</v>
      </c>
      <c r="F101" s="10">
        <v>4.4271000000000003</v>
      </c>
      <c r="G101" s="10">
        <v>0</v>
      </c>
      <c r="H101" s="10">
        <v>15.114100000000001</v>
      </c>
      <c r="I101" s="10">
        <v>5.2027999999999999</v>
      </c>
      <c r="J101" s="10">
        <v>33.417700000000004</v>
      </c>
      <c r="K101" s="10">
        <v>30.262</v>
      </c>
      <c r="L101" s="11">
        <f t="shared" ref="L101:L112" si="12">SUM(C101:K101)</f>
        <v>373.38810000000007</v>
      </c>
    </row>
    <row r="102" spans="1:12" x14ac:dyDescent="0.3">
      <c r="A102" s="4" t="s">
        <v>14</v>
      </c>
      <c r="B102" s="5" t="s">
        <v>16</v>
      </c>
      <c r="C102" s="10">
        <v>0</v>
      </c>
      <c r="D102" s="10">
        <v>2574.116</v>
      </c>
      <c r="E102" s="10">
        <v>11.134</v>
      </c>
      <c r="F102" s="10">
        <v>74.456599999999995</v>
      </c>
      <c r="G102" s="10">
        <v>0</v>
      </c>
      <c r="H102" s="10">
        <v>170.6919</v>
      </c>
      <c r="I102" s="10">
        <v>59.216099999999997</v>
      </c>
      <c r="J102" s="10">
        <v>354.99160000000001</v>
      </c>
      <c r="K102" s="10">
        <v>439.02980000000002</v>
      </c>
      <c r="L102" s="11">
        <f t="shared" si="12"/>
        <v>3683.6359999999995</v>
      </c>
    </row>
    <row r="103" spans="1:12" x14ac:dyDescent="0.3">
      <c r="A103" s="4" t="s">
        <v>14</v>
      </c>
      <c r="B103" s="5" t="s">
        <v>17</v>
      </c>
      <c r="C103" s="10">
        <v>0</v>
      </c>
      <c r="D103" s="10">
        <v>1280.0509</v>
      </c>
      <c r="E103" s="10">
        <v>1.9265000000000001</v>
      </c>
      <c r="F103" s="10">
        <v>22.8689</v>
      </c>
      <c r="G103" s="10">
        <v>0</v>
      </c>
      <c r="H103" s="10">
        <v>98.232699999999994</v>
      </c>
      <c r="I103" s="10">
        <v>23.581900000000001</v>
      </c>
      <c r="J103" s="10">
        <v>236.6439</v>
      </c>
      <c r="K103" s="10">
        <v>108.86969999999999</v>
      </c>
      <c r="L103" s="11">
        <f t="shared" si="12"/>
        <v>1772.1744999999999</v>
      </c>
    </row>
    <row r="104" spans="1:12" x14ac:dyDescent="0.3">
      <c r="A104" s="4" t="s">
        <v>14</v>
      </c>
      <c r="B104" s="5" t="s">
        <v>18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1">
        <f t="shared" si="12"/>
        <v>0</v>
      </c>
    </row>
    <row r="105" spans="1:12" x14ac:dyDescent="0.3">
      <c r="A105" s="8" t="s">
        <v>19</v>
      </c>
      <c r="B105" s="5" t="s">
        <v>20</v>
      </c>
      <c r="C105" s="10">
        <v>0</v>
      </c>
      <c r="D105" s="10">
        <v>534.69749999999999</v>
      </c>
      <c r="E105" s="10">
        <v>5.3365999999999998</v>
      </c>
      <c r="F105" s="10">
        <v>21.8735</v>
      </c>
      <c r="G105" s="10">
        <v>0</v>
      </c>
      <c r="H105" s="10">
        <v>60.055199999999999</v>
      </c>
      <c r="I105" s="10">
        <v>69.807000000000002</v>
      </c>
      <c r="J105" s="10">
        <v>80.834000000000003</v>
      </c>
      <c r="K105" s="10">
        <v>72.180199999999999</v>
      </c>
      <c r="L105" s="11">
        <f t="shared" si="12"/>
        <v>844.78400000000011</v>
      </c>
    </row>
    <row r="106" spans="1:12" x14ac:dyDescent="0.3">
      <c r="A106" s="8" t="s">
        <v>19</v>
      </c>
      <c r="B106" s="5" t="s">
        <v>21</v>
      </c>
      <c r="C106" s="10">
        <v>0</v>
      </c>
      <c r="D106" s="10">
        <v>183.7397</v>
      </c>
      <c r="E106" s="10">
        <v>0.39739999999999998</v>
      </c>
      <c r="F106" s="10">
        <v>9.1743000000000006</v>
      </c>
      <c r="G106" s="10">
        <v>0</v>
      </c>
      <c r="H106" s="10">
        <v>22.7956</v>
      </c>
      <c r="I106" s="10">
        <v>9.9465000000000003</v>
      </c>
      <c r="J106" s="10">
        <v>20.153600000000001</v>
      </c>
      <c r="K106" s="10">
        <v>19.2743</v>
      </c>
      <c r="L106" s="11">
        <f t="shared" si="12"/>
        <v>265.48140000000001</v>
      </c>
    </row>
    <row r="107" spans="1:12" x14ac:dyDescent="0.3">
      <c r="A107" s="8" t="s">
        <v>19</v>
      </c>
      <c r="B107" s="5" t="s">
        <v>22</v>
      </c>
      <c r="C107" s="10">
        <v>0</v>
      </c>
      <c r="D107" s="10">
        <v>1040.7286999999999</v>
      </c>
      <c r="E107" s="10">
        <v>0</v>
      </c>
      <c r="F107" s="10">
        <v>27.6875</v>
      </c>
      <c r="G107" s="10">
        <v>0</v>
      </c>
      <c r="H107" s="10">
        <v>55.843000000000004</v>
      </c>
      <c r="I107" s="10">
        <v>39.683399999999999</v>
      </c>
      <c r="J107" s="10">
        <v>177.89089999999999</v>
      </c>
      <c r="K107" s="10">
        <v>82.846199999999996</v>
      </c>
      <c r="L107" s="11">
        <f t="shared" si="12"/>
        <v>1424.6796999999997</v>
      </c>
    </row>
    <row r="108" spans="1:12" x14ac:dyDescent="0.3">
      <c r="A108" s="8" t="s">
        <v>19</v>
      </c>
      <c r="B108" s="5" t="s">
        <v>23</v>
      </c>
      <c r="C108" s="10">
        <v>0</v>
      </c>
      <c r="D108" s="10">
        <v>298.21179999999998</v>
      </c>
      <c r="E108" s="10">
        <v>0.94130000000000003</v>
      </c>
      <c r="F108" s="10">
        <v>5.8636999999999997</v>
      </c>
      <c r="G108" s="10">
        <v>0</v>
      </c>
      <c r="H108" s="10">
        <v>28.752300000000002</v>
      </c>
      <c r="I108" s="10">
        <v>20.360299999999999</v>
      </c>
      <c r="J108" s="10">
        <v>43.594700000000003</v>
      </c>
      <c r="K108" s="10">
        <v>29.3353</v>
      </c>
      <c r="L108" s="11">
        <f t="shared" si="12"/>
        <v>427.05939999999998</v>
      </c>
    </row>
    <row r="109" spans="1:12" x14ac:dyDescent="0.3">
      <c r="A109" s="9" t="s">
        <v>24</v>
      </c>
      <c r="B109" s="5" t="s">
        <v>25</v>
      </c>
      <c r="C109" s="10">
        <v>0</v>
      </c>
      <c r="D109" s="10">
        <v>452.43270000000001</v>
      </c>
      <c r="E109" s="10">
        <v>0</v>
      </c>
      <c r="F109" s="10">
        <v>2.8754</v>
      </c>
      <c r="G109" s="10">
        <v>0</v>
      </c>
      <c r="H109" s="10">
        <v>57.984999999999999</v>
      </c>
      <c r="I109" s="10">
        <v>38.825400000000002</v>
      </c>
      <c r="J109" s="10">
        <v>54.162300000000002</v>
      </c>
      <c r="K109" s="10">
        <v>43.771299999999997</v>
      </c>
      <c r="L109" s="11">
        <f t="shared" si="12"/>
        <v>650.0521</v>
      </c>
    </row>
    <row r="110" spans="1:12" x14ac:dyDescent="0.3">
      <c r="A110" s="9" t="s">
        <v>24</v>
      </c>
      <c r="B110" s="5" t="s">
        <v>26</v>
      </c>
      <c r="C110" s="10">
        <v>0</v>
      </c>
      <c r="D110" s="10">
        <v>620.28409999999997</v>
      </c>
      <c r="E110" s="10">
        <v>0</v>
      </c>
      <c r="F110" s="10">
        <v>0</v>
      </c>
      <c r="G110" s="10">
        <v>0</v>
      </c>
      <c r="H110" s="10">
        <v>38.973599999999998</v>
      </c>
      <c r="I110" s="10">
        <v>28.513200000000001</v>
      </c>
      <c r="J110" s="10">
        <v>93.368399999999994</v>
      </c>
      <c r="K110" s="10">
        <v>30.398299999999999</v>
      </c>
      <c r="L110" s="11">
        <f t="shared" si="12"/>
        <v>811.53759999999988</v>
      </c>
    </row>
    <row r="111" spans="1:12" x14ac:dyDescent="0.3">
      <c r="A111" s="9" t="s">
        <v>24</v>
      </c>
      <c r="B111" s="5" t="s">
        <v>27</v>
      </c>
      <c r="C111" s="10">
        <v>0</v>
      </c>
      <c r="D111" s="10">
        <v>1011.745</v>
      </c>
      <c r="E111" s="10">
        <v>0</v>
      </c>
      <c r="F111" s="10">
        <v>3.2071000000000001</v>
      </c>
      <c r="G111" s="10">
        <v>0</v>
      </c>
      <c r="H111" s="10">
        <v>52.557699999999997</v>
      </c>
      <c r="I111" s="10">
        <v>65.623099999999994</v>
      </c>
      <c r="J111" s="10">
        <v>85.712900000000005</v>
      </c>
      <c r="K111" s="10">
        <v>65.466200000000001</v>
      </c>
      <c r="L111" s="11">
        <f t="shared" si="12"/>
        <v>1284.3120000000001</v>
      </c>
    </row>
    <row r="112" spans="1:12" x14ac:dyDescent="0.3">
      <c r="A112" s="9" t="s">
        <v>24</v>
      </c>
      <c r="B112" s="5" t="s">
        <v>28</v>
      </c>
      <c r="C112" s="10">
        <v>0</v>
      </c>
      <c r="D112" s="10">
        <v>739.94069999999999</v>
      </c>
      <c r="E112" s="10">
        <v>0</v>
      </c>
      <c r="F112" s="10">
        <v>0</v>
      </c>
      <c r="G112" s="10">
        <v>0</v>
      </c>
      <c r="H112" s="10">
        <v>35.293399999999998</v>
      </c>
      <c r="I112" s="10">
        <v>10.084099999999999</v>
      </c>
      <c r="J112" s="10">
        <v>58.207799999999999</v>
      </c>
      <c r="K112" s="10">
        <v>42.052799999999998</v>
      </c>
      <c r="L112" s="11">
        <f t="shared" si="12"/>
        <v>885.57880000000011</v>
      </c>
    </row>
    <row r="113" spans="1:12" x14ac:dyDescent="0.3">
      <c r="A113" s="27" t="s">
        <v>29</v>
      </c>
      <c r="B113" s="27"/>
      <c r="C113" s="11">
        <f t="shared" ref="C113:L113" si="13">SUM(C101:C112)</f>
        <v>0</v>
      </c>
      <c r="D113" s="11">
        <f t="shared" si="13"/>
        <v>9020.4565000000002</v>
      </c>
      <c r="E113" s="11">
        <f t="shared" si="13"/>
        <v>20.190800000000003</v>
      </c>
      <c r="F113" s="11">
        <f t="shared" si="13"/>
        <v>172.43409999999997</v>
      </c>
      <c r="G113" s="11">
        <f t="shared" si="13"/>
        <v>0</v>
      </c>
      <c r="H113" s="11">
        <f t="shared" si="13"/>
        <v>636.29449999999997</v>
      </c>
      <c r="I113" s="11">
        <f t="shared" si="13"/>
        <v>370.84379999999993</v>
      </c>
      <c r="J113" s="11">
        <f t="shared" si="13"/>
        <v>1238.9777999999999</v>
      </c>
      <c r="K113" s="11">
        <f t="shared" si="13"/>
        <v>963.48609999999996</v>
      </c>
      <c r="L113" s="11">
        <f t="shared" si="13"/>
        <v>12422.683599999998</v>
      </c>
    </row>
  </sheetData>
  <mergeCells count="7">
    <mergeCell ref="A97:B97"/>
    <mergeCell ref="A113:B113"/>
    <mergeCell ref="A17:B17"/>
    <mergeCell ref="A33:B33"/>
    <mergeCell ref="A49:B49"/>
    <mergeCell ref="A65:B65"/>
    <mergeCell ref="A81:B8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3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2" width="12" customWidth="1"/>
    <col min="3" max="11" width="10" customWidth="1"/>
    <col min="12" max="12" width="12" customWidth="1"/>
  </cols>
  <sheetData>
    <row r="1" spans="1:12" ht="17.399999999999999" x14ac:dyDescent="0.3">
      <c r="A1" s="1" t="s">
        <v>36</v>
      </c>
    </row>
    <row r="3" spans="1:12" ht="15.6" x14ac:dyDescent="0.3">
      <c r="A3" s="2" t="s">
        <v>1</v>
      </c>
    </row>
    <row r="4" spans="1:12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 x14ac:dyDescent="0.3">
      <c r="A5" s="4" t="s">
        <v>14</v>
      </c>
      <c r="B5" s="5" t="s">
        <v>15</v>
      </c>
      <c r="C5" s="6">
        <v>0</v>
      </c>
      <c r="D5" s="6">
        <v>150</v>
      </c>
      <c r="E5" s="6">
        <v>0</v>
      </c>
      <c r="F5" s="6">
        <v>6</v>
      </c>
      <c r="G5" s="6">
        <v>0</v>
      </c>
      <c r="H5" s="6">
        <v>58</v>
      </c>
      <c r="I5" s="6">
        <v>6</v>
      </c>
      <c r="J5" s="6">
        <v>16</v>
      </c>
      <c r="K5" s="6">
        <v>67</v>
      </c>
      <c r="L5" s="7">
        <f t="shared" ref="L5:L16" si="0">SUM(C5:K5)</f>
        <v>303</v>
      </c>
    </row>
    <row r="6" spans="1:12" x14ac:dyDescent="0.3">
      <c r="A6" s="4" t="s">
        <v>14</v>
      </c>
      <c r="B6" s="5" t="s">
        <v>16</v>
      </c>
      <c r="C6" s="6">
        <v>0</v>
      </c>
      <c r="D6" s="6">
        <v>132</v>
      </c>
      <c r="E6" s="6">
        <v>0</v>
      </c>
      <c r="F6" s="6">
        <v>5</v>
      </c>
      <c r="G6" s="6">
        <v>0</v>
      </c>
      <c r="H6" s="6">
        <v>65</v>
      </c>
      <c r="I6" s="6">
        <v>10</v>
      </c>
      <c r="J6" s="6">
        <v>14</v>
      </c>
      <c r="K6" s="6">
        <v>73</v>
      </c>
      <c r="L6" s="7">
        <f t="shared" si="0"/>
        <v>299</v>
      </c>
    </row>
    <row r="7" spans="1:12" x14ac:dyDescent="0.3">
      <c r="A7" s="4" t="s">
        <v>14</v>
      </c>
      <c r="B7" s="5" t="s">
        <v>17</v>
      </c>
      <c r="C7" s="6">
        <v>0</v>
      </c>
      <c r="D7" s="6">
        <v>176</v>
      </c>
      <c r="E7" s="6">
        <v>1</v>
      </c>
      <c r="F7" s="6">
        <v>5</v>
      </c>
      <c r="G7" s="6">
        <v>0</v>
      </c>
      <c r="H7" s="6">
        <v>76</v>
      </c>
      <c r="I7" s="6">
        <v>7</v>
      </c>
      <c r="J7" s="6">
        <v>26</v>
      </c>
      <c r="K7" s="6">
        <v>89</v>
      </c>
      <c r="L7" s="7">
        <f t="shared" si="0"/>
        <v>380</v>
      </c>
    </row>
    <row r="8" spans="1:12" x14ac:dyDescent="0.3">
      <c r="A8" s="4" t="s">
        <v>14</v>
      </c>
      <c r="B8" s="5" t="s">
        <v>18</v>
      </c>
      <c r="C8" s="6">
        <v>0</v>
      </c>
      <c r="D8" s="6">
        <v>187</v>
      </c>
      <c r="E8" s="6">
        <v>0</v>
      </c>
      <c r="F8" s="6">
        <v>12</v>
      </c>
      <c r="G8" s="6">
        <v>0</v>
      </c>
      <c r="H8" s="6">
        <v>82</v>
      </c>
      <c r="I8" s="6">
        <v>5</v>
      </c>
      <c r="J8" s="6">
        <v>27</v>
      </c>
      <c r="K8" s="6">
        <v>109</v>
      </c>
      <c r="L8" s="7">
        <f t="shared" si="0"/>
        <v>422</v>
      </c>
    </row>
    <row r="9" spans="1:12" x14ac:dyDescent="0.3">
      <c r="A9" s="8" t="s">
        <v>19</v>
      </c>
      <c r="B9" s="5" t="s">
        <v>20</v>
      </c>
      <c r="C9" s="6">
        <v>0</v>
      </c>
      <c r="D9" s="6">
        <v>88</v>
      </c>
      <c r="E9" s="6">
        <v>0</v>
      </c>
      <c r="F9" s="6">
        <v>7</v>
      </c>
      <c r="G9" s="6">
        <v>0</v>
      </c>
      <c r="H9" s="6">
        <v>80</v>
      </c>
      <c r="I9" s="6">
        <v>10</v>
      </c>
      <c r="J9" s="6">
        <v>14</v>
      </c>
      <c r="K9" s="6">
        <v>60</v>
      </c>
      <c r="L9" s="7">
        <f t="shared" si="0"/>
        <v>259</v>
      </c>
    </row>
    <row r="10" spans="1:12" x14ac:dyDescent="0.3">
      <c r="A10" s="8" t="s">
        <v>19</v>
      </c>
      <c r="B10" s="5" t="s">
        <v>21</v>
      </c>
      <c r="C10" s="6">
        <v>0</v>
      </c>
      <c r="D10" s="6">
        <v>166</v>
      </c>
      <c r="E10" s="6">
        <v>1</v>
      </c>
      <c r="F10" s="6">
        <v>1</v>
      </c>
      <c r="G10" s="6">
        <v>0</v>
      </c>
      <c r="H10" s="6">
        <v>51</v>
      </c>
      <c r="I10" s="6">
        <v>8</v>
      </c>
      <c r="J10" s="6">
        <v>26</v>
      </c>
      <c r="K10" s="6">
        <v>78</v>
      </c>
      <c r="L10" s="7">
        <f t="shared" si="0"/>
        <v>331</v>
      </c>
    </row>
    <row r="11" spans="1:12" x14ac:dyDescent="0.3">
      <c r="A11" s="8" t="s">
        <v>19</v>
      </c>
      <c r="B11" s="5" t="s">
        <v>22</v>
      </c>
      <c r="C11" s="6">
        <v>0</v>
      </c>
      <c r="D11" s="6">
        <v>149</v>
      </c>
      <c r="E11" s="6">
        <v>0</v>
      </c>
      <c r="F11" s="6">
        <v>1</v>
      </c>
      <c r="G11" s="6">
        <v>0</v>
      </c>
      <c r="H11" s="6">
        <v>48</v>
      </c>
      <c r="I11" s="6">
        <v>10</v>
      </c>
      <c r="J11" s="6">
        <v>22</v>
      </c>
      <c r="K11" s="6">
        <v>108</v>
      </c>
      <c r="L11" s="7">
        <f t="shared" si="0"/>
        <v>338</v>
      </c>
    </row>
    <row r="12" spans="1:12" x14ac:dyDescent="0.3">
      <c r="A12" s="8" t="s">
        <v>19</v>
      </c>
      <c r="B12" s="5" t="s">
        <v>23</v>
      </c>
      <c r="C12" s="6">
        <v>0</v>
      </c>
      <c r="D12" s="6">
        <v>139</v>
      </c>
      <c r="E12" s="6">
        <v>0</v>
      </c>
      <c r="F12" s="6">
        <v>10</v>
      </c>
      <c r="G12" s="6">
        <v>0</v>
      </c>
      <c r="H12" s="6">
        <v>112</v>
      </c>
      <c r="I12" s="6">
        <v>11</v>
      </c>
      <c r="J12" s="6">
        <v>23</v>
      </c>
      <c r="K12" s="6">
        <v>103</v>
      </c>
      <c r="L12" s="7">
        <f t="shared" si="0"/>
        <v>398</v>
      </c>
    </row>
    <row r="13" spans="1:12" x14ac:dyDescent="0.3">
      <c r="A13" s="9" t="s">
        <v>24</v>
      </c>
      <c r="B13" s="5" t="s">
        <v>25</v>
      </c>
      <c r="C13" s="6">
        <v>0</v>
      </c>
      <c r="D13" s="6">
        <v>148</v>
      </c>
      <c r="E13" s="6">
        <v>0</v>
      </c>
      <c r="F13" s="6">
        <v>2</v>
      </c>
      <c r="G13" s="6">
        <v>0</v>
      </c>
      <c r="H13" s="6">
        <v>74</v>
      </c>
      <c r="I13" s="6">
        <v>8</v>
      </c>
      <c r="J13" s="6">
        <v>20</v>
      </c>
      <c r="K13" s="6">
        <v>77</v>
      </c>
      <c r="L13" s="7">
        <f t="shared" si="0"/>
        <v>329</v>
      </c>
    </row>
    <row r="14" spans="1:12" x14ac:dyDescent="0.3">
      <c r="A14" s="9" t="s">
        <v>24</v>
      </c>
      <c r="B14" s="5" t="s">
        <v>26</v>
      </c>
      <c r="C14" s="6">
        <v>0</v>
      </c>
      <c r="D14" s="6">
        <v>50</v>
      </c>
      <c r="E14" s="6">
        <v>1</v>
      </c>
      <c r="F14" s="6">
        <v>0</v>
      </c>
      <c r="G14" s="6">
        <v>0</v>
      </c>
      <c r="H14" s="6">
        <v>12</v>
      </c>
      <c r="I14" s="6">
        <v>5</v>
      </c>
      <c r="J14" s="6">
        <v>10</v>
      </c>
      <c r="K14" s="6">
        <v>38</v>
      </c>
      <c r="L14" s="7">
        <f t="shared" si="0"/>
        <v>116</v>
      </c>
    </row>
    <row r="15" spans="1:12" x14ac:dyDescent="0.3">
      <c r="A15" s="9" t="s">
        <v>24</v>
      </c>
      <c r="B15" s="5" t="s">
        <v>27</v>
      </c>
      <c r="C15" s="6">
        <v>0</v>
      </c>
      <c r="D15" s="6">
        <v>162</v>
      </c>
      <c r="E15" s="6">
        <v>0</v>
      </c>
      <c r="F15" s="6">
        <v>1</v>
      </c>
      <c r="G15" s="6">
        <v>0</v>
      </c>
      <c r="H15" s="6">
        <v>38</v>
      </c>
      <c r="I15" s="6">
        <v>11</v>
      </c>
      <c r="J15" s="6">
        <v>22</v>
      </c>
      <c r="K15" s="6">
        <v>52</v>
      </c>
      <c r="L15" s="7">
        <f t="shared" si="0"/>
        <v>286</v>
      </c>
    </row>
    <row r="16" spans="1:12" x14ac:dyDescent="0.3">
      <c r="A16" s="9" t="s">
        <v>24</v>
      </c>
      <c r="B16" s="5" t="s">
        <v>28</v>
      </c>
      <c r="C16" s="6">
        <v>0</v>
      </c>
      <c r="D16" s="6">
        <v>175</v>
      </c>
      <c r="E16" s="6">
        <v>1</v>
      </c>
      <c r="F16" s="6">
        <v>0</v>
      </c>
      <c r="G16" s="6">
        <v>0</v>
      </c>
      <c r="H16" s="6">
        <v>39</v>
      </c>
      <c r="I16" s="6">
        <v>6</v>
      </c>
      <c r="J16" s="6">
        <v>22</v>
      </c>
      <c r="K16" s="6">
        <v>56</v>
      </c>
      <c r="L16" s="7">
        <f t="shared" si="0"/>
        <v>299</v>
      </c>
    </row>
    <row r="17" spans="1:12" x14ac:dyDescent="0.3">
      <c r="A17" s="27" t="s">
        <v>29</v>
      </c>
      <c r="B17" s="27"/>
      <c r="C17" s="7">
        <f t="shared" ref="C17:L17" si="1">SUM(C5:C16)</f>
        <v>0</v>
      </c>
      <c r="D17" s="7">
        <f t="shared" si="1"/>
        <v>1722</v>
      </c>
      <c r="E17" s="7">
        <f t="shared" si="1"/>
        <v>4</v>
      </c>
      <c r="F17" s="7">
        <f t="shared" si="1"/>
        <v>50</v>
      </c>
      <c r="G17" s="7">
        <f t="shared" si="1"/>
        <v>0</v>
      </c>
      <c r="H17" s="7">
        <f t="shared" si="1"/>
        <v>735</v>
      </c>
      <c r="I17" s="7">
        <f t="shared" si="1"/>
        <v>97</v>
      </c>
      <c r="J17" s="7">
        <f t="shared" si="1"/>
        <v>242</v>
      </c>
      <c r="K17" s="7">
        <f t="shared" si="1"/>
        <v>910</v>
      </c>
      <c r="L17" s="7">
        <f t="shared" si="1"/>
        <v>3760</v>
      </c>
    </row>
    <row r="19" spans="1:12" ht="15.6" x14ac:dyDescent="0.3">
      <c r="A19" s="2" t="s">
        <v>30</v>
      </c>
    </row>
    <row r="20" spans="1:12" x14ac:dyDescent="0.3">
      <c r="A20" s="3" t="s">
        <v>2</v>
      </c>
      <c r="B20" s="3" t="s">
        <v>3</v>
      </c>
      <c r="C20" s="3" t="s">
        <v>4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9</v>
      </c>
      <c r="I20" s="3" t="s">
        <v>10</v>
      </c>
      <c r="J20" s="3" t="s">
        <v>11</v>
      </c>
      <c r="K20" s="3" t="s">
        <v>12</v>
      </c>
      <c r="L20" s="3" t="s">
        <v>13</v>
      </c>
    </row>
    <row r="21" spans="1:12" x14ac:dyDescent="0.3">
      <c r="A21" s="4" t="s">
        <v>14</v>
      </c>
      <c r="B21" s="5" t="s">
        <v>15</v>
      </c>
      <c r="C21" s="10">
        <v>0</v>
      </c>
      <c r="D21" s="10">
        <v>54.661900000000003</v>
      </c>
      <c r="E21" s="10">
        <v>0</v>
      </c>
      <c r="F21" s="10">
        <v>0.1822</v>
      </c>
      <c r="G21" s="10">
        <v>0</v>
      </c>
      <c r="H21" s="10">
        <v>3.5226999999999999</v>
      </c>
      <c r="I21" s="10">
        <v>0.3644</v>
      </c>
      <c r="J21" s="10">
        <v>2.9152999999999998</v>
      </c>
      <c r="K21" s="10">
        <v>10.1732</v>
      </c>
      <c r="L21" s="11">
        <f t="shared" ref="L21:L32" si="2">SUM(C21:K21)</f>
        <v>71.819700000000012</v>
      </c>
    </row>
    <row r="22" spans="1:12" x14ac:dyDescent="0.3">
      <c r="A22" s="4" t="s">
        <v>14</v>
      </c>
      <c r="B22" s="5" t="s">
        <v>16</v>
      </c>
      <c r="C22" s="10">
        <v>0</v>
      </c>
      <c r="D22" s="10">
        <v>46.7774</v>
      </c>
      <c r="E22" s="10">
        <v>0</v>
      </c>
      <c r="F22" s="10">
        <v>0.1477</v>
      </c>
      <c r="G22" s="10">
        <v>0</v>
      </c>
      <c r="H22" s="10">
        <v>3.8391000000000002</v>
      </c>
      <c r="I22" s="10">
        <v>0.59060000000000001</v>
      </c>
      <c r="J22" s="10">
        <v>2.4805999999999999</v>
      </c>
      <c r="K22" s="10">
        <v>10.7789</v>
      </c>
      <c r="L22" s="11">
        <f t="shared" si="2"/>
        <v>64.614300000000014</v>
      </c>
    </row>
    <row r="23" spans="1:12" x14ac:dyDescent="0.3">
      <c r="A23" s="4" t="s">
        <v>14</v>
      </c>
      <c r="B23" s="5" t="s">
        <v>17</v>
      </c>
      <c r="C23" s="10">
        <v>0</v>
      </c>
      <c r="D23" s="10">
        <v>52.547699999999999</v>
      </c>
      <c r="E23" s="10">
        <v>2.4899999999999999E-2</v>
      </c>
      <c r="F23" s="10">
        <v>0.1244</v>
      </c>
      <c r="G23" s="10">
        <v>0</v>
      </c>
      <c r="H23" s="10">
        <v>3.7818000000000001</v>
      </c>
      <c r="I23" s="10">
        <v>0.3483</v>
      </c>
      <c r="J23" s="10">
        <v>3.8814000000000002</v>
      </c>
      <c r="K23" s="10">
        <v>11.0718</v>
      </c>
      <c r="L23" s="11">
        <f t="shared" si="2"/>
        <v>71.780299999999997</v>
      </c>
    </row>
    <row r="24" spans="1:12" x14ac:dyDescent="0.3">
      <c r="A24" s="4" t="s">
        <v>14</v>
      </c>
      <c r="B24" s="5" t="s">
        <v>18</v>
      </c>
      <c r="C24" s="10">
        <v>0</v>
      </c>
      <c r="D24" s="10">
        <v>45.369700000000002</v>
      </c>
      <c r="E24" s="10">
        <v>0</v>
      </c>
      <c r="F24" s="10">
        <v>0.24260000000000001</v>
      </c>
      <c r="G24" s="10">
        <v>0</v>
      </c>
      <c r="H24" s="10">
        <v>3.3157999999999999</v>
      </c>
      <c r="I24" s="10">
        <v>0.20219999999999999</v>
      </c>
      <c r="J24" s="10">
        <v>3.2753999999999999</v>
      </c>
      <c r="K24" s="10">
        <v>11.0189</v>
      </c>
      <c r="L24" s="11">
        <f t="shared" si="2"/>
        <v>63.424600000000005</v>
      </c>
    </row>
    <row r="25" spans="1:12" x14ac:dyDescent="0.3">
      <c r="A25" s="8" t="s">
        <v>19</v>
      </c>
      <c r="B25" s="5" t="s">
        <v>20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1">
        <f t="shared" si="2"/>
        <v>0</v>
      </c>
    </row>
    <row r="26" spans="1:12" x14ac:dyDescent="0.3">
      <c r="A26" s="8" t="s">
        <v>19</v>
      </c>
      <c r="B26" s="5" t="s">
        <v>21</v>
      </c>
      <c r="C26" s="10">
        <v>0</v>
      </c>
      <c r="D26" s="10">
        <v>72.106700000000004</v>
      </c>
      <c r="E26" s="10">
        <v>3.6200000000000003E-2</v>
      </c>
      <c r="F26" s="10">
        <v>3.6200000000000003E-2</v>
      </c>
      <c r="G26" s="10">
        <v>0</v>
      </c>
      <c r="H26" s="10">
        <v>3.6922000000000001</v>
      </c>
      <c r="I26" s="10">
        <v>0.57920000000000005</v>
      </c>
      <c r="J26" s="10">
        <v>5.6468999999999996</v>
      </c>
      <c r="K26" s="10">
        <v>14.1173</v>
      </c>
      <c r="L26" s="11">
        <f t="shared" si="2"/>
        <v>96.214699999999993</v>
      </c>
    </row>
    <row r="27" spans="1:12" x14ac:dyDescent="0.3">
      <c r="A27" s="8" t="s">
        <v>19</v>
      </c>
      <c r="B27" s="5" t="s">
        <v>22</v>
      </c>
      <c r="C27" s="10">
        <v>0</v>
      </c>
      <c r="D27" s="10">
        <v>66.5852</v>
      </c>
      <c r="E27" s="10">
        <v>0</v>
      </c>
      <c r="F27" s="10">
        <v>3.7199999999999997E-2</v>
      </c>
      <c r="G27" s="10">
        <v>0</v>
      </c>
      <c r="H27" s="10">
        <v>3.5750000000000002</v>
      </c>
      <c r="I27" s="10">
        <v>0.74480000000000002</v>
      </c>
      <c r="J27" s="10">
        <v>4.9157000000000002</v>
      </c>
      <c r="K27" s="10">
        <v>20.1096</v>
      </c>
      <c r="L27" s="11">
        <f t="shared" si="2"/>
        <v>95.967500000000001</v>
      </c>
    </row>
    <row r="28" spans="1:12" x14ac:dyDescent="0.3">
      <c r="A28" s="8" t="s">
        <v>19</v>
      </c>
      <c r="B28" s="5" t="s">
        <v>23</v>
      </c>
      <c r="C28" s="10">
        <v>0</v>
      </c>
      <c r="D28" s="10">
        <v>38.871200000000002</v>
      </c>
      <c r="E28" s="10">
        <v>0</v>
      </c>
      <c r="F28" s="10">
        <v>0.23300000000000001</v>
      </c>
      <c r="G28" s="10">
        <v>0</v>
      </c>
      <c r="H28" s="10">
        <v>5.2201000000000004</v>
      </c>
      <c r="I28" s="10">
        <v>0.51270000000000004</v>
      </c>
      <c r="J28" s="10">
        <v>3.2160000000000002</v>
      </c>
      <c r="K28" s="10">
        <v>12.0016</v>
      </c>
      <c r="L28" s="11">
        <f t="shared" si="2"/>
        <v>60.054600000000008</v>
      </c>
    </row>
    <row r="29" spans="1:12" x14ac:dyDescent="0.3">
      <c r="A29" s="9" t="s">
        <v>24</v>
      </c>
      <c r="B29" s="5" t="s">
        <v>25</v>
      </c>
      <c r="C29" s="10">
        <v>0</v>
      </c>
      <c r="D29" s="10">
        <v>74.157899999999998</v>
      </c>
      <c r="E29" s="10">
        <v>0</v>
      </c>
      <c r="F29" s="10">
        <v>8.3500000000000005E-2</v>
      </c>
      <c r="G29" s="10">
        <v>0</v>
      </c>
      <c r="H29" s="10">
        <v>6.1798000000000002</v>
      </c>
      <c r="I29" s="10">
        <v>0.66810000000000003</v>
      </c>
      <c r="J29" s="10">
        <v>5.0106999999999999</v>
      </c>
      <c r="K29" s="10">
        <v>16.075900000000001</v>
      </c>
      <c r="L29" s="11">
        <f t="shared" si="2"/>
        <v>102.1759</v>
      </c>
    </row>
    <row r="30" spans="1:12" x14ac:dyDescent="0.3">
      <c r="A30" s="9" t="s">
        <v>24</v>
      </c>
      <c r="B30" s="5" t="s">
        <v>26</v>
      </c>
      <c r="C30" s="10">
        <v>0</v>
      </c>
      <c r="D30" s="10">
        <v>16.539400000000001</v>
      </c>
      <c r="E30" s="10">
        <v>2.76E-2</v>
      </c>
      <c r="F30" s="10">
        <v>0</v>
      </c>
      <c r="G30" s="10">
        <v>0</v>
      </c>
      <c r="H30" s="10">
        <v>0.66159999999999997</v>
      </c>
      <c r="I30" s="10">
        <v>0.2757</v>
      </c>
      <c r="J30" s="10">
        <v>1.6538999999999999</v>
      </c>
      <c r="K30" s="10">
        <v>5.2374999999999998</v>
      </c>
      <c r="L30" s="11">
        <f t="shared" si="2"/>
        <v>24.395700000000001</v>
      </c>
    </row>
    <row r="31" spans="1:12" x14ac:dyDescent="0.3">
      <c r="A31" s="9" t="s">
        <v>24</v>
      </c>
      <c r="B31" s="5" t="s">
        <v>27</v>
      </c>
      <c r="C31" s="10">
        <v>0</v>
      </c>
      <c r="D31" s="10">
        <v>44.497900000000001</v>
      </c>
      <c r="E31" s="10">
        <v>0</v>
      </c>
      <c r="F31" s="10">
        <v>2.29E-2</v>
      </c>
      <c r="G31" s="10">
        <v>0</v>
      </c>
      <c r="H31" s="10">
        <v>1.7396</v>
      </c>
      <c r="I31" s="10">
        <v>0.50360000000000005</v>
      </c>
      <c r="J31" s="10">
        <v>3.0215000000000001</v>
      </c>
      <c r="K31" s="10">
        <v>5.9513999999999996</v>
      </c>
      <c r="L31" s="11">
        <f t="shared" si="2"/>
        <v>55.736900000000006</v>
      </c>
    </row>
    <row r="32" spans="1:12" x14ac:dyDescent="0.3">
      <c r="A32" s="9" t="s">
        <v>24</v>
      </c>
      <c r="B32" s="5" t="s">
        <v>28</v>
      </c>
      <c r="C32" s="10">
        <v>0</v>
      </c>
      <c r="D32" s="10">
        <v>70.168199999999999</v>
      </c>
      <c r="E32" s="10">
        <v>3.3399999999999999E-2</v>
      </c>
      <c r="F32" s="10">
        <v>0</v>
      </c>
      <c r="G32" s="10">
        <v>0</v>
      </c>
      <c r="H32" s="10">
        <v>2.6061999999999999</v>
      </c>
      <c r="I32" s="10">
        <v>0.40100000000000002</v>
      </c>
      <c r="J32" s="10">
        <v>4.4105999999999996</v>
      </c>
      <c r="K32" s="10">
        <v>9.3558000000000003</v>
      </c>
      <c r="L32" s="11">
        <f t="shared" si="2"/>
        <v>86.975200000000001</v>
      </c>
    </row>
    <row r="33" spans="1:12" x14ac:dyDescent="0.3">
      <c r="A33" s="27" t="s">
        <v>29</v>
      </c>
      <c r="B33" s="27"/>
      <c r="C33" s="11">
        <f t="shared" ref="C33:L33" si="3">SUM(C21:C32)</f>
        <v>0</v>
      </c>
      <c r="D33" s="11">
        <f t="shared" si="3"/>
        <v>582.28319999999985</v>
      </c>
      <c r="E33" s="11">
        <f t="shared" si="3"/>
        <v>0.1221</v>
      </c>
      <c r="F33" s="11">
        <f t="shared" si="3"/>
        <v>1.1096999999999999</v>
      </c>
      <c r="G33" s="11">
        <f t="shared" si="3"/>
        <v>0</v>
      </c>
      <c r="H33" s="11">
        <f t="shared" si="3"/>
        <v>38.133900000000004</v>
      </c>
      <c r="I33" s="11">
        <f t="shared" si="3"/>
        <v>5.1905999999999999</v>
      </c>
      <c r="J33" s="11">
        <f t="shared" si="3"/>
        <v>40.428000000000004</v>
      </c>
      <c r="K33" s="11">
        <f t="shared" si="3"/>
        <v>125.89190000000001</v>
      </c>
      <c r="L33" s="11">
        <f t="shared" si="3"/>
        <v>793.15940000000001</v>
      </c>
    </row>
    <row r="35" spans="1:12" ht="15.6" x14ac:dyDescent="0.3">
      <c r="A35" s="2" t="s">
        <v>31</v>
      </c>
    </row>
    <row r="36" spans="1:12" x14ac:dyDescent="0.3">
      <c r="A36" s="3" t="s">
        <v>2</v>
      </c>
      <c r="B36" s="3" t="s">
        <v>3</v>
      </c>
      <c r="C36" s="3" t="s">
        <v>4</v>
      </c>
      <c r="D36" s="3" t="s">
        <v>5</v>
      </c>
      <c r="E36" s="3" t="s">
        <v>6</v>
      </c>
      <c r="F36" s="3" t="s">
        <v>7</v>
      </c>
      <c r="G36" s="3" t="s">
        <v>8</v>
      </c>
      <c r="H36" s="3" t="s">
        <v>9</v>
      </c>
      <c r="I36" s="3" t="s">
        <v>10</v>
      </c>
      <c r="J36" s="3" t="s">
        <v>11</v>
      </c>
      <c r="K36" s="3" t="s">
        <v>12</v>
      </c>
      <c r="L36" s="3" t="s">
        <v>13</v>
      </c>
    </row>
    <row r="37" spans="1:12" x14ac:dyDescent="0.3">
      <c r="A37" s="4" t="s">
        <v>14</v>
      </c>
      <c r="B37" s="5" t="s">
        <v>15</v>
      </c>
      <c r="C37" s="10">
        <v>0</v>
      </c>
      <c r="D37" s="10">
        <v>210.6763</v>
      </c>
      <c r="E37" s="10">
        <v>0</v>
      </c>
      <c r="F37" s="10">
        <v>0</v>
      </c>
      <c r="G37" s="10">
        <v>0</v>
      </c>
      <c r="H37" s="10">
        <v>20.625399999999999</v>
      </c>
      <c r="I37" s="10">
        <v>9.8384</v>
      </c>
      <c r="J37" s="10">
        <v>24.3505</v>
      </c>
      <c r="K37" s="10">
        <v>6.0299999999999999E-2</v>
      </c>
      <c r="L37" s="11">
        <f t="shared" ref="L37:L48" si="4">SUM(C37:K37)</f>
        <v>265.55089999999996</v>
      </c>
    </row>
    <row r="38" spans="1:12" x14ac:dyDescent="0.3">
      <c r="A38" s="4" t="s">
        <v>14</v>
      </c>
      <c r="B38" s="5" t="s">
        <v>16</v>
      </c>
      <c r="C38" s="10">
        <v>0</v>
      </c>
      <c r="D38" s="10">
        <v>378.88920000000002</v>
      </c>
      <c r="E38" s="10">
        <v>0</v>
      </c>
      <c r="F38" s="10">
        <v>0</v>
      </c>
      <c r="G38" s="10">
        <v>0</v>
      </c>
      <c r="H38" s="10">
        <v>47.238999999999997</v>
      </c>
      <c r="I38" s="10">
        <v>33.510899999999999</v>
      </c>
      <c r="J38" s="10">
        <v>43.544199999999996</v>
      </c>
      <c r="K38" s="10">
        <v>0.13420000000000001</v>
      </c>
      <c r="L38" s="11">
        <f t="shared" si="4"/>
        <v>503.3175</v>
      </c>
    </row>
    <row r="39" spans="1:12" x14ac:dyDescent="0.3">
      <c r="A39" s="4" t="s">
        <v>14</v>
      </c>
      <c r="B39" s="5" t="s">
        <v>17</v>
      </c>
      <c r="C39" s="10">
        <v>0</v>
      </c>
      <c r="D39" s="10">
        <v>267.09629999999999</v>
      </c>
      <c r="E39" s="10">
        <v>0</v>
      </c>
      <c r="F39" s="10">
        <v>0</v>
      </c>
      <c r="G39" s="10">
        <v>0</v>
      </c>
      <c r="H39" s="10">
        <v>29.202400000000001</v>
      </c>
      <c r="I39" s="10">
        <v>12.4023</v>
      </c>
      <c r="J39" s="10">
        <v>42.755499999999998</v>
      </c>
      <c r="K39" s="10">
        <v>8.6499999999999994E-2</v>
      </c>
      <c r="L39" s="11">
        <f t="shared" si="4"/>
        <v>351.54300000000001</v>
      </c>
    </row>
    <row r="40" spans="1:12" x14ac:dyDescent="0.3">
      <c r="A40" s="4" t="s">
        <v>14</v>
      </c>
      <c r="B40" s="5" t="s">
        <v>18</v>
      </c>
      <c r="C40" s="10">
        <v>0</v>
      </c>
      <c r="D40" s="10">
        <v>163.506</v>
      </c>
      <c r="E40" s="10">
        <v>0</v>
      </c>
      <c r="F40" s="10">
        <v>0</v>
      </c>
      <c r="G40" s="10">
        <v>0</v>
      </c>
      <c r="H40" s="10">
        <v>18.153300000000002</v>
      </c>
      <c r="I40" s="10">
        <v>5.1040000000000001</v>
      </c>
      <c r="J40" s="10">
        <v>25.581099999999999</v>
      </c>
      <c r="K40" s="10">
        <v>6.0999999999999999E-2</v>
      </c>
      <c r="L40" s="11">
        <f t="shared" si="4"/>
        <v>212.40540000000001</v>
      </c>
    </row>
    <row r="41" spans="1:12" x14ac:dyDescent="0.3">
      <c r="A41" s="8" t="s">
        <v>19</v>
      </c>
      <c r="B41" s="5" t="s">
        <v>20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1">
        <f t="shared" si="4"/>
        <v>0</v>
      </c>
    </row>
    <row r="42" spans="1:12" x14ac:dyDescent="0.3">
      <c r="A42" s="8" t="s">
        <v>19</v>
      </c>
      <c r="B42" s="5" t="s">
        <v>21</v>
      </c>
      <c r="C42" s="10">
        <v>0</v>
      </c>
      <c r="D42" s="10">
        <v>138.09710000000001</v>
      </c>
      <c r="E42" s="10">
        <v>0</v>
      </c>
      <c r="F42" s="10">
        <v>0</v>
      </c>
      <c r="G42" s="10">
        <v>0</v>
      </c>
      <c r="H42" s="10">
        <v>10.7423</v>
      </c>
      <c r="I42" s="10">
        <v>7.7698999999999998</v>
      </c>
      <c r="J42" s="10">
        <v>23.4376</v>
      </c>
      <c r="K42" s="10">
        <v>4.1599999999999998E-2</v>
      </c>
      <c r="L42" s="11">
        <f t="shared" si="4"/>
        <v>180.08850000000001</v>
      </c>
    </row>
    <row r="43" spans="1:12" x14ac:dyDescent="0.3">
      <c r="A43" s="8" t="s">
        <v>19</v>
      </c>
      <c r="B43" s="5" t="s">
        <v>22</v>
      </c>
      <c r="C43" s="10">
        <v>0</v>
      </c>
      <c r="D43" s="10">
        <v>576.71420000000001</v>
      </c>
      <c r="E43" s="10">
        <v>0</v>
      </c>
      <c r="F43" s="10">
        <v>0</v>
      </c>
      <c r="G43" s="10">
        <v>0</v>
      </c>
      <c r="H43" s="10">
        <v>47.039700000000003</v>
      </c>
      <c r="I43" s="10">
        <v>45.188000000000002</v>
      </c>
      <c r="J43" s="10">
        <v>92.27</v>
      </c>
      <c r="K43" s="10">
        <v>0.26769999999999999</v>
      </c>
      <c r="L43" s="11">
        <f t="shared" si="4"/>
        <v>761.4796</v>
      </c>
    </row>
    <row r="44" spans="1:12" x14ac:dyDescent="0.3">
      <c r="A44" s="8" t="s">
        <v>19</v>
      </c>
      <c r="B44" s="5" t="s">
        <v>23</v>
      </c>
      <c r="C44" s="10">
        <v>0</v>
      </c>
      <c r="D44" s="10">
        <v>119.5736</v>
      </c>
      <c r="E44" s="10">
        <v>0</v>
      </c>
      <c r="F44" s="10">
        <v>0</v>
      </c>
      <c r="G44" s="10">
        <v>0</v>
      </c>
      <c r="H44" s="10">
        <v>24.394200000000001</v>
      </c>
      <c r="I44" s="10">
        <v>11.0474</v>
      </c>
      <c r="J44" s="10">
        <v>21.439399999999999</v>
      </c>
      <c r="K44" s="10">
        <v>5.67E-2</v>
      </c>
      <c r="L44" s="11">
        <f t="shared" si="4"/>
        <v>176.51130000000003</v>
      </c>
    </row>
    <row r="45" spans="1:12" x14ac:dyDescent="0.3">
      <c r="A45" s="9" t="s">
        <v>24</v>
      </c>
      <c r="B45" s="5" t="s">
        <v>25</v>
      </c>
      <c r="C45" s="10">
        <v>0</v>
      </c>
      <c r="D45" s="10">
        <v>541.34220000000005</v>
      </c>
      <c r="E45" s="10">
        <v>0</v>
      </c>
      <c r="F45" s="10">
        <v>0</v>
      </c>
      <c r="G45" s="10">
        <v>0</v>
      </c>
      <c r="H45" s="10">
        <v>68.531599999999997</v>
      </c>
      <c r="I45" s="10">
        <v>34.162399999999998</v>
      </c>
      <c r="J45" s="10">
        <v>79.269099999999995</v>
      </c>
      <c r="K45" s="10">
        <v>0.1804</v>
      </c>
      <c r="L45" s="11">
        <f t="shared" si="4"/>
        <v>723.48570000000007</v>
      </c>
    </row>
    <row r="46" spans="1:12" x14ac:dyDescent="0.3">
      <c r="A46" s="9" t="s">
        <v>24</v>
      </c>
      <c r="B46" s="5" t="s">
        <v>26</v>
      </c>
      <c r="C46" s="10">
        <v>0</v>
      </c>
      <c r="D46" s="10">
        <v>46.832599999999999</v>
      </c>
      <c r="E46" s="10">
        <v>0</v>
      </c>
      <c r="F46" s="10">
        <v>0</v>
      </c>
      <c r="G46" s="10">
        <v>0</v>
      </c>
      <c r="H46" s="10">
        <v>2.8458000000000001</v>
      </c>
      <c r="I46" s="10">
        <v>5.4676</v>
      </c>
      <c r="J46" s="10">
        <v>10.1494</v>
      </c>
      <c r="K46" s="10">
        <v>2.2800000000000001E-2</v>
      </c>
      <c r="L46" s="11">
        <f t="shared" si="4"/>
        <v>65.318200000000004</v>
      </c>
    </row>
    <row r="47" spans="1:12" x14ac:dyDescent="0.3">
      <c r="A47" s="9" t="s">
        <v>24</v>
      </c>
      <c r="B47" s="5" t="s">
        <v>27</v>
      </c>
      <c r="C47" s="10">
        <v>0</v>
      </c>
      <c r="D47" s="10">
        <v>171.88800000000001</v>
      </c>
      <c r="E47" s="10">
        <v>0</v>
      </c>
      <c r="F47" s="10">
        <v>0</v>
      </c>
      <c r="G47" s="10">
        <v>0</v>
      </c>
      <c r="H47" s="10">
        <v>10.208500000000001</v>
      </c>
      <c r="I47" s="10">
        <v>13.626099999999999</v>
      </c>
      <c r="J47" s="10">
        <v>25.294</v>
      </c>
      <c r="K47" s="10">
        <v>3.5299999999999998E-2</v>
      </c>
      <c r="L47" s="11">
        <f t="shared" si="4"/>
        <v>221.05190000000002</v>
      </c>
    </row>
    <row r="48" spans="1:12" x14ac:dyDescent="0.3">
      <c r="A48" s="9" t="s">
        <v>24</v>
      </c>
      <c r="B48" s="5" t="s">
        <v>28</v>
      </c>
      <c r="C48" s="10">
        <v>0</v>
      </c>
      <c r="D48" s="10">
        <v>202.5909</v>
      </c>
      <c r="E48" s="10">
        <v>0</v>
      </c>
      <c r="F48" s="10">
        <v>0</v>
      </c>
      <c r="G48" s="10">
        <v>0</v>
      </c>
      <c r="H48" s="10">
        <v>11.4313</v>
      </c>
      <c r="I48" s="10">
        <v>8.1092999999999993</v>
      </c>
      <c r="J48" s="10">
        <v>27.5974</v>
      </c>
      <c r="K48" s="10">
        <v>4.1500000000000002E-2</v>
      </c>
      <c r="L48" s="11">
        <f t="shared" si="4"/>
        <v>249.7704</v>
      </c>
    </row>
    <row r="49" spans="1:12" x14ac:dyDescent="0.3">
      <c r="A49" s="27" t="s">
        <v>29</v>
      </c>
      <c r="B49" s="27"/>
      <c r="C49" s="11">
        <f t="shared" ref="C49:L49" si="5">SUM(C37:C48)</f>
        <v>0</v>
      </c>
      <c r="D49" s="11">
        <f t="shared" si="5"/>
        <v>2817.2064000000005</v>
      </c>
      <c r="E49" s="11">
        <f t="shared" si="5"/>
        <v>0</v>
      </c>
      <c r="F49" s="11">
        <f t="shared" si="5"/>
        <v>0</v>
      </c>
      <c r="G49" s="11">
        <f t="shared" si="5"/>
        <v>0</v>
      </c>
      <c r="H49" s="11">
        <f t="shared" si="5"/>
        <v>290.41350000000006</v>
      </c>
      <c r="I49" s="11">
        <f t="shared" si="5"/>
        <v>186.22629999999998</v>
      </c>
      <c r="J49" s="11">
        <f t="shared" si="5"/>
        <v>415.68819999999994</v>
      </c>
      <c r="K49" s="11">
        <f t="shared" si="5"/>
        <v>0.98799999999999999</v>
      </c>
      <c r="L49" s="11">
        <f t="shared" si="5"/>
        <v>3710.5224000000003</v>
      </c>
    </row>
    <row r="51" spans="1:12" ht="15.6" x14ac:dyDescent="0.3">
      <c r="A51" s="2" t="s">
        <v>32</v>
      </c>
    </row>
    <row r="52" spans="1:12" x14ac:dyDescent="0.3">
      <c r="A52" s="3" t="s">
        <v>2</v>
      </c>
      <c r="B52" s="3" t="s">
        <v>3</v>
      </c>
      <c r="C52" s="3" t="s">
        <v>4</v>
      </c>
      <c r="D52" s="3" t="s">
        <v>5</v>
      </c>
      <c r="E52" s="3" t="s">
        <v>6</v>
      </c>
      <c r="F52" s="3" t="s">
        <v>7</v>
      </c>
      <c r="G52" s="3" t="s">
        <v>8</v>
      </c>
      <c r="H52" s="3" t="s">
        <v>9</v>
      </c>
      <c r="I52" s="3" t="s">
        <v>10</v>
      </c>
      <c r="J52" s="3" t="s">
        <v>11</v>
      </c>
      <c r="K52" s="3" t="s">
        <v>12</v>
      </c>
      <c r="L52" s="3" t="s">
        <v>13</v>
      </c>
    </row>
    <row r="53" spans="1:12" x14ac:dyDescent="0.3">
      <c r="A53" s="4" t="s">
        <v>14</v>
      </c>
      <c r="B53" s="5" t="s">
        <v>15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1">
        <f t="shared" ref="L53:L64" si="6">SUM(C53:K53)</f>
        <v>0</v>
      </c>
    </row>
    <row r="54" spans="1:12" x14ac:dyDescent="0.3">
      <c r="A54" s="4" t="s">
        <v>14</v>
      </c>
      <c r="B54" s="5" t="s">
        <v>16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1">
        <f t="shared" si="6"/>
        <v>0</v>
      </c>
    </row>
    <row r="55" spans="1:12" x14ac:dyDescent="0.3">
      <c r="A55" s="4" t="s">
        <v>14</v>
      </c>
      <c r="B55" s="5" t="s">
        <v>17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1">
        <f t="shared" si="6"/>
        <v>0</v>
      </c>
    </row>
    <row r="56" spans="1:12" x14ac:dyDescent="0.3">
      <c r="A56" s="4" t="s">
        <v>14</v>
      </c>
      <c r="B56" s="5" t="s">
        <v>18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1">
        <f t="shared" si="6"/>
        <v>0</v>
      </c>
    </row>
    <row r="57" spans="1:12" x14ac:dyDescent="0.3">
      <c r="A57" s="8" t="s">
        <v>19</v>
      </c>
      <c r="B57" s="5" t="s">
        <v>20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1">
        <f t="shared" si="6"/>
        <v>0</v>
      </c>
    </row>
    <row r="58" spans="1:12" x14ac:dyDescent="0.3">
      <c r="A58" s="8" t="s">
        <v>19</v>
      </c>
      <c r="B58" s="5" t="s">
        <v>21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1">
        <f t="shared" si="6"/>
        <v>0</v>
      </c>
    </row>
    <row r="59" spans="1:12" x14ac:dyDescent="0.3">
      <c r="A59" s="8" t="s">
        <v>19</v>
      </c>
      <c r="B59" s="5" t="s">
        <v>22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1">
        <f t="shared" si="6"/>
        <v>0</v>
      </c>
    </row>
    <row r="60" spans="1:12" x14ac:dyDescent="0.3">
      <c r="A60" s="8" t="s">
        <v>19</v>
      </c>
      <c r="B60" s="5" t="s">
        <v>23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1">
        <f t="shared" si="6"/>
        <v>0</v>
      </c>
    </row>
    <row r="61" spans="1:12" x14ac:dyDescent="0.3">
      <c r="A61" s="9" t="s">
        <v>24</v>
      </c>
      <c r="B61" s="5" t="s">
        <v>25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1">
        <f t="shared" si="6"/>
        <v>0</v>
      </c>
    </row>
    <row r="62" spans="1:12" x14ac:dyDescent="0.3">
      <c r="A62" s="9" t="s">
        <v>24</v>
      </c>
      <c r="B62" s="5" t="s">
        <v>26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1">
        <f t="shared" si="6"/>
        <v>0</v>
      </c>
    </row>
    <row r="63" spans="1:12" x14ac:dyDescent="0.3">
      <c r="A63" s="9" t="s">
        <v>24</v>
      </c>
      <c r="B63" s="5" t="s">
        <v>27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1">
        <f t="shared" si="6"/>
        <v>0</v>
      </c>
    </row>
    <row r="64" spans="1:12" x14ac:dyDescent="0.3">
      <c r="A64" s="9" t="s">
        <v>24</v>
      </c>
      <c r="B64" s="5" t="s">
        <v>28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1">
        <f t="shared" si="6"/>
        <v>0</v>
      </c>
    </row>
    <row r="65" spans="1:12" x14ac:dyDescent="0.3">
      <c r="A65" s="27" t="s">
        <v>29</v>
      </c>
      <c r="B65" s="27"/>
      <c r="C65" s="11">
        <f t="shared" ref="C65:L65" si="7">SUM(C53:C64)</f>
        <v>0</v>
      </c>
      <c r="D65" s="11">
        <f t="shared" si="7"/>
        <v>0</v>
      </c>
      <c r="E65" s="11">
        <f t="shared" si="7"/>
        <v>0</v>
      </c>
      <c r="F65" s="11">
        <f t="shared" si="7"/>
        <v>0</v>
      </c>
      <c r="G65" s="11">
        <f t="shared" si="7"/>
        <v>0</v>
      </c>
      <c r="H65" s="11">
        <f t="shared" si="7"/>
        <v>0</v>
      </c>
      <c r="I65" s="11">
        <f t="shared" si="7"/>
        <v>0</v>
      </c>
      <c r="J65" s="11">
        <f t="shared" si="7"/>
        <v>0</v>
      </c>
      <c r="K65" s="11">
        <f t="shared" si="7"/>
        <v>0</v>
      </c>
      <c r="L65" s="11">
        <f t="shared" si="7"/>
        <v>0</v>
      </c>
    </row>
    <row r="67" spans="1:12" ht="15.6" x14ac:dyDescent="0.3">
      <c r="A67" s="2" t="s">
        <v>33</v>
      </c>
    </row>
    <row r="68" spans="1:12" x14ac:dyDescent="0.3">
      <c r="A68" s="3" t="s">
        <v>2</v>
      </c>
      <c r="B68" s="3" t="s">
        <v>3</v>
      </c>
      <c r="C68" s="3" t="s">
        <v>4</v>
      </c>
      <c r="D68" s="3" t="s">
        <v>5</v>
      </c>
      <c r="E68" s="3" t="s">
        <v>6</v>
      </c>
      <c r="F68" s="3" t="s">
        <v>7</v>
      </c>
      <c r="G68" s="3" t="s">
        <v>8</v>
      </c>
      <c r="H68" s="3" t="s">
        <v>9</v>
      </c>
      <c r="I68" s="3" t="s">
        <v>10</v>
      </c>
      <c r="J68" s="3" t="s">
        <v>11</v>
      </c>
      <c r="K68" s="3" t="s">
        <v>12</v>
      </c>
      <c r="L68" s="3" t="s">
        <v>13</v>
      </c>
    </row>
    <row r="69" spans="1:12" x14ac:dyDescent="0.3">
      <c r="A69" s="4" t="s">
        <v>14</v>
      </c>
      <c r="B69" s="5" t="s">
        <v>15</v>
      </c>
      <c r="C69" s="10">
        <v>0</v>
      </c>
      <c r="D69" s="10">
        <v>18.613</v>
      </c>
      <c r="E69" s="10">
        <v>0</v>
      </c>
      <c r="F69" s="10">
        <v>0</v>
      </c>
      <c r="G69" s="10">
        <v>0</v>
      </c>
      <c r="H69" s="10">
        <v>1.9471000000000001</v>
      </c>
      <c r="I69" s="10">
        <v>7.4511000000000003</v>
      </c>
      <c r="J69" s="10">
        <v>13.7288</v>
      </c>
      <c r="K69" s="10">
        <v>10.2652</v>
      </c>
      <c r="L69" s="11">
        <f t="shared" ref="L69:L80" si="8">SUM(C69:K69)</f>
        <v>52.005199999999995</v>
      </c>
    </row>
    <row r="70" spans="1:12" x14ac:dyDescent="0.3">
      <c r="A70" s="4" t="s">
        <v>14</v>
      </c>
      <c r="B70" s="5" t="s">
        <v>16</v>
      </c>
      <c r="C70" s="10">
        <v>0</v>
      </c>
      <c r="D70" s="10">
        <v>33.474499999999999</v>
      </c>
      <c r="E70" s="10">
        <v>0</v>
      </c>
      <c r="F70" s="10">
        <v>0</v>
      </c>
      <c r="G70" s="10">
        <v>0</v>
      </c>
      <c r="H70" s="10">
        <v>4.4596</v>
      </c>
      <c r="I70" s="10">
        <v>25.3796</v>
      </c>
      <c r="J70" s="10">
        <v>24.5501</v>
      </c>
      <c r="K70" s="10">
        <v>22.857399999999998</v>
      </c>
      <c r="L70" s="11">
        <f t="shared" si="8"/>
        <v>110.7212</v>
      </c>
    </row>
    <row r="71" spans="1:12" x14ac:dyDescent="0.3">
      <c r="A71" s="4" t="s">
        <v>14</v>
      </c>
      <c r="B71" s="5" t="s">
        <v>17</v>
      </c>
      <c r="C71" s="10">
        <v>0</v>
      </c>
      <c r="D71" s="10">
        <v>23.5977</v>
      </c>
      <c r="E71" s="10">
        <v>0</v>
      </c>
      <c r="F71" s="10">
        <v>0</v>
      </c>
      <c r="G71" s="10">
        <v>0</v>
      </c>
      <c r="H71" s="10">
        <v>2.7568000000000001</v>
      </c>
      <c r="I71" s="10">
        <v>9.3928999999999991</v>
      </c>
      <c r="J71" s="10">
        <v>24.105499999999999</v>
      </c>
      <c r="K71" s="10">
        <v>14.733700000000001</v>
      </c>
      <c r="L71" s="11">
        <f t="shared" si="8"/>
        <v>74.586600000000004</v>
      </c>
    </row>
    <row r="72" spans="1:12" x14ac:dyDescent="0.3">
      <c r="A72" s="4" t="s">
        <v>14</v>
      </c>
      <c r="B72" s="5" t="s">
        <v>18</v>
      </c>
      <c r="C72" s="10">
        <v>0</v>
      </c>
      <c r="D72" s="10">
        <v>14.445600000000001</v>
      </c>
      <c r="E72" s="10">
        <v>0</v>
      </c>
      <c r="F72" s="10">
        <v>0</v>
      </c>
      <c r="G72" s="10">
        <v>0</v>
      </c>
      <c r="H72" s="10">
        <v>1.7137</v>
      </c>
      <c r="I72" s="10">
        <v>3.8654999999999999</v>
      </c>
      <c r="J72" s="10">
        <v>14.422599999999999</v>
      </c>
      <c r="K72" s="10">
        <v>10.3964</v>
      </c>
      <c r="L72" s="11">
        <f t="shared" si="8"/>
        <v>44.843800000000002</v>
      </c>
    </row>
    <row r="73" spans="1:12" x14ac:dyDescent="0.3">
      <c r="A73" s="8" t="s">
        <v>19</v>
      </c>
      <c r="B73" s="5" t="s">
        <v>20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1">
        <f t="shared" si="8"/>
        <v>0</v>
      </c>
    </row>
    <row r="74" spans="1:12" x14ac:dyDescent="0.3">
      <c r="A74" s="8" t="s">
        <v>19</v>
      </c>
      <c r="B74" s="5" t="s">
        <v>21</v>
      </c>
      <c r="C74" s="10">
        <v>0</v>
      </c>
      <c r="D74" s="10">
        <v>12.200699999999999</v>
      </c>
      <c r="E74" s="10">
        <v>0</v>
      </c>
      <c r="F74" s="10">
        <v>0</v>
      </c>
      <c r="G74" s="10">
        <v>0</v>
      </c>
      <c r="H74" s="10">
        <v>1.0141</v>
      </c>
      <c r="I74" s="10">
        <v>5.8845999999999998</v>
      </c>
      <c r="J74" s="10">
        <v>13.2141</v>
      </c>
      <c r="K74" s="10">
        <v>7.0784000000000002</v>
      </c>
      <c r="L74" s="11">
        <f t="shared" si="8"/>
        <v>39.3919</v>
      </c>
    </row>
    <row r="75" spans="1:12" x14ac:dyDescent="0.3">
      <c r="A75" s="8" t="s">
        <v>19</v>
      </c>
      <c r="B75" s="5" t="s">
        <v>22</v>
      </c>
      <c r="C75" s="10">
        <v>0</v>
      </c>
      <c r="D75" s="10">
        <v>50.952100000000002</v>
      </c>
      <c r="E75" s="10">
        <v>0</v>
      </c>
      <c r="F75" s="10">
        <v>0</v>
      </c>
      <c r="G75" s="10">
        <v>0</v>
      </c>
      <c r="H75" s="10">
        <v>4.4406999999999996</v>
      </c>
      <c r="I75" s="10">
        <v>34.223300000000002</v>
      </c>
      <c r="J75" s="10">
        <v>52.021700000000003</v>
      </c>
      <c r="K75" s="10">
        <v>45.6</v>
      </c>
      <c r="L75" s="11">
        <f t="shared" si="8"/>
        <v>187.23779999999999</v>
      </c>
    </row>
    <row r="76" spans="1:12" x14ac:dyDescent="0.3">
      <c r="A76" s="8" t="s">
        <v>19</v>
      </c>
      <c r="B76" s="5" t="s">
        <v>23</v>
      </c>
      <c r="C76" s="10">
        <v>0</v>
      </c>
      <c r="D76" s="10">
        <v>10.5642</v>
      </c>
      <c r="E76" s="10">
        <v>0</v>
      </c>
      <c r="F76" s="10">
        <v>0</v>
      </c>
      <c r="G76" s="10">
        <v>0</v>
      </c>
      <c r="H76" s="10">
        <v>2.3029000000000002</v>
      </c>
      <c r="I76" s="10">
        <v>8.3667999999999996</v>
      </c>
      <c r="J76" s="10">
        <v>12.0875</v>
      </c>
      <c r="K76" s="10">
        <v>9.6654999999999998</v>
      </c>
      <c r="L76" s="11">
        <f t="shared" si="8"/>
        <v>42.986899999999999</v>
      </c>
    </row>
    <row r="77" spans="1:12" x14ac:dyDescent="0.3">
      <c r="A77" s="9" t="s">
        <v>24</v>
      </c>
      <c r="B77" s="5" t="s">
        <v>25</v>
      </c>
      <c r="C77" s="10">
        <v>0</v>
      </c>
      <c r="D77" s="10">
        <v>47.826999999999998</v>
      </c>
      <c r="E77" s="10">
        <v>0</v>
      </c>
      <c r="F77" s="10">
        <v>0</v>
      </c>
      <c r="G77" s="10">
        <v>0</v>
      </c>
      <c r="H77" s="10">
        <v>6.4696999999999996</v>
      </c>
      <c r="I77" s="10">
        <v>25.873000000000001</v>
      </c>
      <c r="J77" s="10">
        <v>44.691699999999997</v>
      </c>
      <c r="K77" s="10">
        <v>30.723299999999998</v>
      </c>
      <c r="L77" s="11">
        <f t="shared" si="8"/>
        <v>155.5847</v>
      </c>
    </row>
    <row r="78" spans="1:12" x14ac:dyDescent="0.3">
      <c r="A78" s="9" t="s">
        <v>24</v>
      </c>
      <c r="B78" s="5" t="s">
        <v>26</v>
      </c>
      <c r="C78" s="10">
        <v>0</v>
      </c>
      <c r="D78" s="10">
        <v>4.1375999999999999</v>
      </c>
      <c r="E78" s="10">
        <v>0</v>
      </c>
      <c r="F78" s="10">
        <v>0</v>
      </c>
      <c r="G78" s="10">
        <v>0</v>
      </c>
      <c r="H78" s="10">
        <v>0.26869999999999999</v>
      </c>
      <c r="I78" s="10">
        <v>4.1409000000000002</v>
      </c>
      <c r="J78" s="10">
        <v>5.7222</v>
      </c>
      <c r="K78" s="10">
        <v>3.8826999999999998</v>
      </c>
      <c r="L78" s="11">
        <f t="shared" si="8"/>
        <v>18.152100000000001</v>
      </c>
    </row>
    <row r="79" spans="1:12" x14ac:dyDescent="0.3">
      <c r="A79" s="9" t="s">
        <v>24</v>
      </c>
      <c r="B79" s="5" t="s">
        <v>27</v>
      </c>
      <c r="C79" s="10">
        <v>0</v>
      </c>
      <c r="D79" s="10">
        <v>15.1861</v>
      </c>
      <c r="E79" s="10">
        <v>0</v>
      </c>
      <c r="F79" s="10">
        <v>0</v>
      </c>
      <c r="G79" s="10">
        <v>0</v>
      </c>
      <c r="H79" s="10">
        <v>0.9637</v>
      </c>
      <c r="I79" s="10">
        <v>10.319800000000001</v>
      </c>
      <c r="J79" s="10">
        <v>14.2607</v>
      </c>
      <c r="K79" s="10">
        <v>6.0186999999999999</v>
      </c>
      <c r="L79" s="11">
        <f t="shared" si="8"/>
        <v>46.749000000000002</v>
      </c>
    </row>
    <row r="80" spans="1:12" x14ac:dyDescent="0.3">
      <c r="A80" s="9" t="s">
        <v>24</v>
      </c>
      <c r="B80" s="5" t="s">
        <v>28</v>
      </c>
      <c r="C80" s="10">
        <v>0</v>
      </c>
      <c r="D80" s="10">
        <v>17.898700000000002</v>
      </c>
      <c r="E80" s="10">
        <v>0</v>
      </c>
      <c r="F80" s="10">
        <v>0</v>
      </c>
      <c r="G80" s="10">
        <v>0</v>
      </c>
      <c r="H80" s="10">
        <v>1.0791999999999999</v>
      </c>
      <c r="I80" s="10">
        <v>6.1416000000000004</v>
      </c>
      <c r="J80" s="10">
        <v>15.5594</v>
      </c>
      <c r="K80" s="10">
        <v>7.0719000000000003</v>
      </c>
      <c r="L80" s="11">
        <f t="shared" si="8"/>
        <v>47.750799999999998</v>
      </c>
    </row>
    <row r="81" spans="1:12" x14ac:dyDescent="0.3">
      <c r="A81" s="27" t="s">
        <v>29</v>
      </c>
      <c r="B81" s="27"/>
      <c r="C81" s="11">
        <f t="shared" ref="C81:L81" si="9">SUM(C69:C80)</f>
        <v>0</v>
      </c>
      <c r="D81" s="11">
        <f t="shared" si="9"/>
        <v>248.89719999999997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1">
        <f t="shared" si="9"/>
        <v>27.416199999999996</v>
      </c>
      <c r="I81" s="11">
        <f t="shared" si="9"/>
        <v>141.03910000000002</v>
      </c>
      <c r="J81" s="11">
        <f t="shared" si="9"/>
        <v>234.36429999999999</v>
      </c>
      <c r="K81" s="11">
        <f t="shared" si="9"/>
        <v>168.29319999999998</v>
      </c>
      <c r="L81" s="11">
        <f t="shared" si="9"/>
        <v>820.0100000000001</v>
      </c>
    </row>
    <row r="83" spans="1:12" ht="15.6" x14ac:dyDescent="0.3">
      <c r="A83" s="2" t="s">
        <v>34</v>
      </c>
    </row>
    <row r="84" spans="1:12" x14ac:dyDescent="0.3">
      <c r="A84" s="3" t="s">
        <v>2</v>
      </c>
      <c r="B84" s="3" t="s">
        <v>3</v>
      </c>
      <c r="C84" s="3" t="s">
        <v>4</v>
      </c>
      <c r="D84" s="3" t="s">
        <v>5</v>
      </c>
      <c r="E84" s="3" t="s">
        <v>6</v>
      </c>
      <c r="F84" s="3" t="s">
        <v>7</v>
      </c>
      <c r="G84" s="3" t="s">
        <v>8</v>
      </c>
      <c r="H84" s="3" t="s">
        <v>9</v>
      </c>
      <c r="I84" s="3" t="s">
        <v>10</v>
      </c>
      <c r="J84" s="3" t="s">
        <v>11</v>
      </c>
      <c r="K84" s="3" t="s">
        <v>12</v>
      </c>
      <c r="L84" s="3" t="s">
        <v>13</v>
      </c>
    </row>
    <row r="85" spans="1:12" x14ac:dyDescent="0.3">
      <c r="A85" s="4" t="s">
        <v>14</v>
      </c>
      <c r="B85" s="5" t="s">
        <v>15</v>
      </c>
      <c r="C85" s="10">
        <v>0</v>
      </c>
      <c r="D85" s="10">
        <v>658.06399999999996</v>
      </c>
      <c r="E85" s="10">
        <v>0</v>
      </c>
      <c r="F85" s="10">
        <v>19.034700000000001</v>
      </c>
      <c r="G85" s="10">
        <v>0</v>
      </c>
      <c r="H85" s="10">
        <v>35.928100000000001</v>
      </c>
      <c r="I85" s="10">
        <v>23.6845</v>
      </c>
      <c r="J85" s="10">
        <v>48.602800000000002</v>
      </c>
      <c r="K85" s="10">
        <v>55.134399999999999</v>
      </c>
      <c r="L85" s="11">
        <f t="shared" ref="L85:L96" si="10">SUM(C85:K85)</f>
        <v>840.44849999999997</v>
      </c>
    </row>
    <row r="86" spans="1:12" x14ac:dyDescent="0.3">
      <c r="A86" s="4" t="s">
        <v>14</v>
      </c>
      <c r="B86" s="5" t="s">
        <v>16</v>
      </c>
      <c r="C86" s="10">
        <v>0</v>
      </c>
      <c r="D86" s="10">
        <v>1364.1583000000001</v>
      </c>
      <c r="E86" s="10">
        <v>0</v>
      </c>
      <c r="F86" s="10">
        <v>36.9833</v>
      </c>
      <c r="G86" s="10">
        <v>0</v>
      </c>
      <c r="H86" s="10">
        <v>97.483599999999996</v>
      </c>
      <c r="I86" s="10">
        <v>118.4618</v>
      </c>
      <c r="J86" s="10">
        <v>119.19459999999999</v>
      </c>
      <c r="K86" s="10">
        <v>138.72749999999999</v>
      </c>
      <c r="L86" s="11">
        <f t="shared" si="10"/>
        <v>1875.0091000000002</v>
      </c>
    </row>
    <row r="87" spans="1:12" x14ac:dyDescent="0.3">
      <c r="A87" s="4" t="s">
        <v>14</v>
      </c>
      <c r="B87" s="5" t="s">
        <v>17</v>
      </c>
      <c r="C87" s="10">
        <v>0</v>
      </c>
      <c r="D87" s="10">
        <v>764.35080000000005</v>
      </c>
      <c r="E87" s="10">
        <v>3.4983</v>
      </c>
      <c r="F87" s="10">
        <v>22.377800000000001</v>
      </c>
      <c r="G87" s="10">
        <v>0</v>
      </c>
      <c r="H87" s="10">
        <v>53.129800000000003</v>
      </c>
      <c r="I87" s="10">
        <v>37.1526</v>
      </c>
      <c r="J87" s="10">
        <v>94.5107</v>
      </c>
      <c r="K87" s="10">
        <v>71.038300000000007</v>
      </c>
      <c r="L87" s="11">
        <f t="shared" si="10"/>
        <v>1046.0583000000001</v>
      </c>
    </row>
    <row r="88" spans="1:12" x14ac:dyDescent="0.3">
      <c r="A88" s="4" t="s">
        <v>14</v>
      </c>
      <c r="B88" s="5" t="s">
        <v>18</v>
      </c>
      <c r="C88" s="10">
        <v>0</v>
      </c>
      <c r="D88" s="10">
        <v>447.78370000000001</v>
      </c>
      <c r="E88" s="10">
        <v>0</v>
      </c>
      <c r="F88" s="10">
        <v>26.245000000000001</v>
      </c>
      <c r="G88" s="10">
        <v>0</v>
      </c>
      <c r="H88" s="10">
        <v>35.120800000000003</v>
      </c>
      <c r="I88" s="10">
        <v>7.8250000000000002</v>
      </c>
      <c r="J88" s="10">
        <v>60.7776</v>
      </c>
      <c r="K88" s="10">
        <v>50.257300000000001</v>
      </c>
      <c r="L88" s="11">
        <f t="shared" si="10"/>
        <v>628.00940000000003</v>
      </c>
    </row>
    <row r="89" spans="1:12" x14ac:dyDescent="0.3">
      <c r="A89" s="8" t="s">
        <v>19</v>
      </c>
      <c r="B89" s="5" t="s">
        <v>20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1">
        <f t="shared" si="10"/>
        <v>0</v>
      </c>
    </row>
    <row r="90" spans="1:12" x14ac:dyDescent="0.3">
      <c r="A90" s="8" t="s">
        <v>19</v>
      </c>
      <c r="B90" s="5" t="s">
        <v>21</v>
      </c>
      <c r="C90" s="10">
        <v>0</v>
      </c>
      <c r="D90" s="10">
        <v>279.95569999999998</v>
      </c>
      <c r="E90" s="10">
        <v>0.71909999999999996</v>
      </c>
      <c r="F90" s="10">
        <v>2.6995</v>
      </c>
      <c r="G90" s="10">
        <v>0</v>
      </c>
      <c r="H90" s="10">
        <v>12.4901</v>
      </c>
      <c r="I90" s="10">
        <v>11.1983</v>
      </c>
      <c r="J90" s="10">
        <v>40.470300000000002</v>
      </c>
      <c r="K90" s="10">
        <v>24.802099999999999</v>
      </c>
      <c r="L90" s="11">
        <f t="shared" si="10"/>
        <v>372.33510000000001</v>
      </c>
    </row>
    <row r="91" spans="1:12" x14ac:dyDescent="0.3">
      <c r="A91" s="8" t="s">
        <v>19</v>
      </c>
      <c r="B91" s="5" t="s">
        <v>22</v>
      </c>
      <c r="C91" s="10">
        <v>0</v>
      </c>
      <c r="D91" s="10">
        <v>1395.6529</v>
      </c>
      <c r="E91" s="10">
        <v>0</v>
      </c>
      <c r="F91" s="10">
        <v>13.8529</v>
      </c>
      <c r="G91" s="10">
        <v>0</v>
      </c>
      <c r="H91" s="10">
        <v>81.944599999999994</v>
      </c>
      <c r="I91" s="10">
        <v>128.8228</v>
      </c>
      <c r="J91" s="10">
        <v>433.26799999999997</v>
      </c>
      <c r="K91" s="10">
        <v>211.20320000000001</v>
      </c>
      <c r="L91" s="11">
        <f t="shared" si="10"/>
        <v>2264.7444</v>
      </c>
    </row>
    <row r="92" spans="1:12" x14ac:dyDescent="0.3">
      <c r="A92" s="8" t="s">
        <v>19</v>
      </c>
      <c r="B92" s="5" t="s">
        <v>23</v>
      </c>
      <c r="C92" s="10">
        <v>0</v>
      </c>
      <c r="D92" s="10">
        <v>336.73700000000002</v>
      </c>
      <c r="E92" s="10">
        <v>0</v>
      </c>
      <c r="F92" s="10">
        <v>26.067399999999999</v>
      </c>
      <c r="G92" s="10">
        <v>0</v>
      </c>
      <c r="H92" s="10">
        <v>45.043900000000001</v>
      </c>
      <c r="I92" s="10">
        <v>36.011600000000001</v>
      </c>
      <c r="J92" s="10">
        <v>33.047400000000003</v>
      </c>
      <c r="K92" s="10">
        <v>51.607700000000001</v>
      </c>
      <c r="L92" s="11">
        <f t="shared" si="10"/>
        <v>528.51499999999999</v>
      </c>
    </row>
    <row r="93" spans="1:12" x14ac:dyDescent="0.3">
      <c r="A93" s="9" t="s">
        <v>24</v>
      </c>
      <c r="B93" s="5" t="s">
        <v>25</v>
      </c>
      <c r="C93" s="10">
        <v>0</v>
      </c>
      <c r="D93" s="10">
        <v>1260.6161999999999</v>
      </c>
      <c r="E93" s="10">
        <v>0</v>
      </c>
      <c r="F93" s="10">
        <v>15.709300000000001</v>
      </c>
      <c r="G93" s="10">
        <v>0</v>
      </c>
      <c r="H93" s="10">
        <v>113.7456</v>
      </c>
      <c r="I93" s="10">
        <v>81.970699999999994</v>
      </c>
      <c r="J93" s="10">
        <v>206.1885</v>
      </c>
      <c r="K93" s="10">
        <v>115.7795</v>
      </c>
      <c r="L93" s="11">
        <f t="shared" si="10"/>
        <v>1794.0098</v>
      </c>
    </row>
    <row r="94" spans="1:12" x14ac:dyDescent="0.3">
      <c r="A94" s="9" t="s">
        <v>24</v>
      </c>
      <c r="B94" s="5" t="s">
        <v>26</v>
      </c>
      <c r="C94" s="10">
        <v>0</v>
      </c>
      <c r="D94" s="10">
        <v>80.264300000000006</v>
      </c>
      <c r="E94" s="10">
        <v>1.6194</v>
      </c>
      <c r="F94" s="10">
        <v>0</v>
      </c>
      <c r="G94" s="10">
        <v>0</v>
      </c>
      <c r="H94" s="10">
        <v>3.4619</v>
      </c>
      <c r="I94" s="10">
        <v>8.9366000000000003</v>
      </c>
      <c r="J94" s="10">
        <v>18.268000000000001</v>
      </c>
      <c r="K94" s="10">
        <v>11.9877</v>
      </c>
      <c r="L94" s="11">
        <f t="shared" si="10"/>
        <v>124.53790000000001</v>
      </c>
    </row>
    <row r="95" spans="1:12" x14ac:dyDescent="0.3">
      <c r="A95" s="9" t="s">
        <v>24</v>
      </c>
      <c r="B95" s="5" t="s">
        <v>27</v>
      </c>
      <c r="C95" s="10">
        <v>0</v>
      </c>
      <c r="D95" s="10">
        <v>437.29300000000001</v>
      </c>
      <c r="E95" s="10">
        <v>0</v>
      </c>
      <c r="F95" s="10">
        <v>1.2152000000000001</v>
      </c>
      <c r="G95" s="10">
        <v>0</v>
      </c>
      <c r="H95" s="10">
        <v>14.365600000000001</v>
      </c>
      <c r="I95" s="10">
        <v>36.255899999999997</v>
      </c>
      <c r="J95" s="10">
        <v>58.747300000000003</v>
      </c>
      <c r="K95" s="10">
        <v>24.3429</v>
      </c>
      <c r="L95" s="11">
        <f t="shared" si="10"/>
        <v>572.21989999999994</v>
      </c>
    </row>
    <row r="96" spans="1:12" x14ac:dyDescent="0.3">
      <c r="A96" s="9" t="s">
        <v>24</v>
      </c>
      <c r="B96" s="5" t="s">
        <v>28</v>
      </c>
      <c r="C96" s="10">
        <v>0</v>
      </c>
      <c r="D96" s="10">
        <v>473.31790000000001</v>
      </c>
      <c r="E96" s="10">
        <v>1.1119000000000001</v>
      </c>
      <c r="F96" s="10">
        <v>0</v>
      </c>
      <c r="G96" s="10">
        <v>0</v>
      </c>
      <c r="H96" s="10">
        <v>19.915099999999999</v>
      </c>
      <c r="I96" s="10">
        <v>15.583299999999999</v>
      </c>
      <c r="J96" s="10">
        <v>56.549500000000002</v>
      </c>
      <c r="K96" s="10">
        <v>24.107199999999999</v>
      </c>
      <c r="L96" s="11">
        <f t="shared" si="10"/>
        <v>590.58490000000006</v>
      </c>
    </row>
    <row r="97" spans="1:12" x14ac:dyDescent="0.3">
      <c r="A97" s="27" t="s">
        <v>29</v>
      </c>
      <c r="B97" s="27"/>
      <c r="C97" s="11">
        <f t="shared" ref="C97:L97" si="11">SUM(C85:C96)</f>
        <v>0</v>
      </c>
      <c r="D97" s="11">
        <f t="shared" si="11"/>
        <v>7498.1938</v>
      </c>
      <c r="E97" s="11">
        <f t="shared" si="11"/>
        <v>6.9486999999999997</v>
      </c>
      <c r="F97" s="11">
        <f t="shared" si="11"/>
        <v>164.18510000000003</v>
      </c>
      <c r="G97" s="11">
        <f t="shared" si="11"/>
        <v>0</v>
      </c>
      <c r="H97" s="11">
        <f t="shared" si="11"/>
        <v>512.62909999999999</v>
      </c>
      <c r="I97" s="11">
        <f t="shared" si="11"/>
        <v>505.90309999999999</v>
      </c>
      <c r="J97" s="11">
        <f t="shared" si="11"/>
        <v>1169.6247000000001</v>
      </c>
      <c r="K97" s="11">
        <f t="shared" si="11"/>
        <v>778.98779999999999</v>
      </c>
      <c r="L97" s="11">
        <f t="shared" si="11"/>
        <v>10636.472300000001</v>
      </c>
    </row>
    <row r="99" spans="1:12" ht="15.6" x14ac:dyDescent="0.3">
      <c r="A99" s="2" t="s">
        <v>35</v>
      </c>
    </row>
    <row r="100" spans="1:12" x14ac:dyDescent="0.3">
      <c r="A100" s="3" t="s">
        <v>2</v>
      </c>
      <c r="B100" s="3" t="s">
        <v>3</v>
      </c>
      <c r="C100" s="3" t="s">
        <v>4</v>
      </c>
      <c r="D100" s="3" t="s">
        <v>5</v>
      </c>
      <c r="E100" s="3" t="s">
        <v>6</v>
      </c>
      <c r="F100" s="3" t="s">
        <v>7</v>
      </c>
      <c r="G100" s="3" t="s">
        <v>8</v>
      </c>
      <c r="H100" s="3" t="s">
        <v>9</v>
      </c>
      <c r="I100" s="3" t="s">
        <v>10</v>
      </c>
      <c r="J100" s="3" t="s">
        <v>11</v>
      </c>
      <c r="K100" s="3" t="s">
        <v>12</v>
      </c>
      <c r="L100" s="3" t="s">
        <v>13</v>
      </c>
    </row>
    <row r="101" spans="1:12" x14ac:dyDescent="0.3">
      <c r="A101" s="4" t="s">
        <v>14</v>
      </c>
      <c r="B101" s="5" t="s">
        <v>15</v>
      </c>
      <c r="C101" s="10">
        <v>0</v>
      </c>
      <c r="D101" s="10">
        <v>942.01509999999996</v>
      </c>
      <c r="E101" s="10">
        <v>0</v>
      </c>
      <c r="F101" s="10">
        <v>19.216899999999999</v>
      </c>
      <c r="G101" s="10">
        <v>0</v>
      </c>
      <c r="H101" s="10">
        <v>62.023200000000003</v>
      </c>
      <c r="I101" s="10">
        <v>41.338500000000003</v>
      </c>
      <c r="J101" s="10">
        <v>89.597399999999993</v>
      </c>
      <c r="K101" s="10">
        <v>75.632999999999996</v>
      </c>
      <c r="L101" s="11">
        <f t="shared" ref="L101:L112" si="12">SUM(C101:K101)</f>
        <v>1229.8241</v>
      </c>
    </row>
    <row r="102" spans="1:12" x14ac:dyDescent="0.3">
      <c r="A102" s="4" t="s">
        <v>14</v>
      </c>
      <c r="B102" s="5" t="s">
        <v>16</v>
      </c>
      <c r="C102" s="10">
        <v>0</v>
      </c>
      <c r="D102" s="10">
        <v>1823.2992999999999</v>
      </c>
      <c r="E102" s="10">
        <v>0</v>
      </c>
      <c r="F102" s="10">
        <v>37.131</v>
      </c>
      <c r="G102" s="10">
        <v>0</v>
      </c>
      <c r="H102" s="10">
        <v>153.02119999999999</v>
      </c>
      <c r="I102" s="10">
        <v>177.94300000000001</v>
      </c>
      <c r="J102" s="10">
        <v>189.76949999999999</v>
      </c>
      <c r="K102" s="10">
        <v>172.49799999999999</v>
      </c>
      <c r="L102" s="11">
        <f t="shared" si="12"/>
        <v>2553.6619999999998</v>
      </c>
    </row>
    <row r="103" spans="1:12" x14ac:dyDescent="0.3">
      <c r="A103" s="4" t="s">
        <v>14</v>
      </c>
      <c r="B103" s="5" t="s">
        <v>17</v>
      </c>
      <c r="C103" s="10">
        <v>0</v>
      </c>
      <c r="D103" s="10">
        <v>1107.5925</v>
      </c>
      <c r="E103" s="10">
        <v>3.5232000000000001</v>
      </c>
      <c r="F103" s="10">
        <v>22.502199999999998</v>
      </c>
      <c r="G103" s="10">
        <v>0</v>
      </c>
      <c r="H103" s="10">
        <v>88.870800000000003</v>
      </c>
      <c r="I103" s="10">
        <v>59.296100000000003</v>
      </c>
      <c r="J103" s="10">
        <v>165.25299999999999</v>
      </c>
      <c r="K103" s="10">
        <v>96.930300000000003</v>
      </c>
      <c r="L103" s="11">
        <f t="shared" si="12"/>
        <v>1543.9680999999998</v>
      </c>
    </row>
    <row r="104" spans="1:12" x14ac:dyDescent="0.3">
      <c r="A104" s="4" t="s">
        <v>14</v>
      </c>
      <c r="B104" s="5" t="s">
        <v>18</v>
      </c>
      <c r="C104" s="10">
        <v>0</v>
      </c>
      <c r="D104" s="10">
        <v>671.10490000000004</v>
      </c>
      <c r="E104" s="10">
        <v>0</v>
      </c>
      <c r="F104" s="10">
        <v>26.4876</v>
      </c>
      <c r="G104" s="10">
        <v>0</v>
      </c>
      <c r="H104" s="10">
        <v>58.303600000000003</v>
      </c>
      <c r="I104" s="10">
        <v>16.996700000000001</v>
      </c>
      <c r="J104" s="10">
        <v>104.0566</v>
      </c>
      <c r="K104" s="10">
        <v>71.733699999999999</v>
      </c>
      <c r="L104" s="11">
        <f t="shared" si="12"/>
        <v>948.68310000000008</v>
      </c>
    </row>
    <row r="105" spans="1:12" x14ac:dyDescent="0.3">
      <c r="A105" s="8" t="s">
        <v>19</v>
      </c>
      <c r="B105" s="5" t="s">
        <v>20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1">
        <f t="shared" si="12"/>
        <v>0</v>
      </c>
    </row>
    <row r="106" spans="1:12" x14ac:dyDescent="0.3">
      <c r="A106" s="8" t="s">
        <v>19</v>
      </c>
      <c r="B106" s="5" t="s">
        <v>21</v>
      </c>
      <c r="C106" s="10">
        <v>0</v>
      </c>
      <c r="D106" s="10">
        <v>502.36020000000002</v>
      </c>
      <c r="E106" s="10">
        <v>0.75529999999999997</v>
      </c>
      <c r="F106" s="10">
        <v>2.7357</v>
      </c>
      <c r="G106" s="10">
        <v>0</v>
      </c>
      <c r="H106" s="10">
        <v>27.938700000000001</v>
      </c>
      <c r="I106" s="10">
        <v>25.431899999999999</v>
      </c>
      <c r="J106" s="10">
        <v>82.768900000000002</v>
      </c>
      <c r="K106" s="10">
        <v>46.039299999999997</v>
      </c>
      <c r="L106" s="11">
        <f t="shared" si="12"/>
        <v>688.03000000000009</v>
      </c>
    </row>
    <row r="107" spans="1:12" x14ac:dyDescent="0.3">
      <c r="A107" s="8" t="s">
        <v>19</v>
      </c>
      <c r="B107" s="5" t="s">
        <v>22</v>
      </c>
      <c r="C107" s="10">
        <v>0</v>
      </c>
      <c r="D107" s="10">
        <v>2089.9043999999999</v>
      </c>
      <c r="E107" s="10">
        <v>0</v>
      </c>
      <c r="F107" s="10">
        <v>13.8901</v>
      </c>
      <c r="G107" s="10">
        <v>0</v>
      </c>
      <c r="H107" s="10">
        <v>137.0001</v>
      </c>
      <c r="I107" s="10">
        <v>208.97880000000001</v>
      </c>
      <c r="J107" s="10">
        <v>582.47540000000004</v>
      </c>
      <c r="K107" s="10">
        <v>277.18049999999999</v>
      </c>
      <c r="L107" s="11">
        <f t="shared" si="12"/>
        <v>3309.4293000000002</v>
      </c>
    </row>
    <row r="108" spans="1:12" x14ac:dyDescent="0.3">
      <c r="A108" s="8" t="s">
        <v>19</v>
      </c>
      <c r="B108" s="5" t="s">
        <v>23</v>
      </c>
      <c r="C108" s="10">
        <v>0</v>
      </c>
      <c r="D108" s="10">
        <v>505.74599999999998</v>
      </c>
      <c r="E108" s="10">
        <v>0</v>
      </c>
      <c r="F108" s="10">
        <v>26.3004</v>
      </c>
      <c r="G108" s="10">
        <v>0</v>
      </c>
      <c r="H108" s="10">
        <v>76.961200000000005</v>
      </c>
      <c r="I108" s="10">
        <v>55.938499999999998</v>
      </c>
      <c r="J108" s="10">
        <v>69.790199999999999</v>
      </c>
      <c r="K108" s="10">
        <v>73.331500000000005</v>
      </c>
      <c r="L108" s="11">
        <f t="shared" si="12"/>
        <v>808.06779999999992</v>
      </c>
    </row>
    <row r="109" spans="1:12" x14ac:dyDescent="0.3">
      <c r="A109" s="9" t="s">
        <v>24</v>
      </c>
      <c r="B109" s="5" t="s">
        <v>25</v>
      </c>
      <c r="C109" s="10">
        <v>0</v>
      </c>
      <c r="D109" s="10">
        <v>1923.9431999999999</v>
      </c>
      <c r="E109" s="10">
        <v>0</v>
      </c>
      <c r="F109" s="10">
        <v>15.7928</v>
      </c>
      <c r="G109" s="10">
        <v>0</v>
      </c>
      <c r="H109" s="10">
        <v>194.92679999999999</v>
      </c>
      <c r="I109" s="10">
        <v>142.67420000000001</v>
      </c>
      <c r="J109" s="10">
        <v>335.16</v>
      </c>
      <c r="K109" s="10">
        <v>162.75909999999999</v>
      </c>
      <c r="L109" s="11">
        <f t="shared" si="12"/>
        <v>2775.2560999999996</v>
      </c>
    </row>
    <row r="110" spans="1:12" x14ac:dyDescent="0.3">
      <c r="A110" s="9" t="s">
        <v>24</v>
      </c>
      <c r="B110" s="5" t="s">
        <v>26</v>
      </c>
      <c r="C110" s="10">
        <v>0</v>
      </c>
      <c r="D110" s="10">
        <v>147.7739</v>
      </c>
      <c r="E110" s="10">
        <v>1.6469</v>
      </c>
      <c r="F110" s="10">
        <v>0</v>
      </c>
      <c r="G110" s="10">
        <v>0</v>
      </c>
      <c r="H110" s="10">
        <v>7.2380000000000004</v>
      </c>
      <c r="I110" s="10">
        <v>18.820799999999998</v>
      </c>
      <c r="J110" s="10">
        <v>35.793700000000001</v>
      </c>
      <c r="K110" s="10">
        <v>21.130700000000001</v>
      </c>
      <c r="L110" s="11">
        <f t="shared" si="12"/>
        <v>232.40399999999997</v>
      </c>
    </row>
    <row r="111" spans="1:12" x14ac:dyDescent="0.3">
      <c r="A111" s="9" t="s">
        <v>24</v>
      </c>
      <c r="B111" s="5" t="s">
        <v>27</v>
      </c>
      <c r="C111" s="10">
        <v>0</v>
      </c>
      <c r="D111" s="10">
        <v>668.86509999999998</v>
      </c>
      <c r="E111" s="10">
        <v>0</v>
      </c>
      <c r="F111" s="10">
        <v>1.2381</v>
      </c>
      <c r="G111" s="10">
        <v>0</v>
      </c>
      <c r="H111" s="10">
        <v>27.2775</v>
      </c>
      <c r="I111" s="10">
        <v>60.705300000000001</v>
      </c>
      <c r="J111" s="10">
        <v>101.32340000000001</v>
      </c>
      <c r="K111" s="10">
        <v>36.348300000000002</v>
      </c>
      <c r="L111" s="11">
        <f t="shared" si="12"/>
        <v>895.7577</v>
      </c>
    </row>
    <row r="112" spans="1:12" x14ac:dyDescent="0.3">
      <c r="A112" s="9" t="s">
        <v>24</v>
      </c>
      <c r="B112" s="5" t="s">
        <v>28</v>
      </c>
      <c r="C112" s="10">
        <v>0</v>
      </c>
      <c r="D112" s="10">
        <v>763.97580000000005</v>
      </c>
      <c r="E112" s="10">
        <v>1.1453</v>
      </c>
      <c r="F112" s="10">
        <v>0</v>
      </c>
      <c r="G112" s="10">
        <v>0</v>
      </c>
      <c r="H112" s="10">
        <v>35.031799999999997</v>
      </c>
      <c r="I112" s="10">
        <v>30.235099999999999</v>
      </c>
      <c r="J112" s="10">
        <v>104.1169</v>
      </c>
      <c r="K112" s="10">
        <v>40.5764</v>
      </c>
      <c r="L112" s="11">
        <f t="shared" si="12"/>
        <v>975.08130000000006</v>
      </c>
    </row>
    <row r="113" spans="1:12" x14ac:dyDescent="0.3">
      <c r="A113" s="27" t="s">
        <v>29</v>
      </c>
      <c r="B113" s="27"/>
      <c r="C113" s="11">
        <f t="shared" ref="C113:L113" si="13">SUM(C101:C112)</f>
        <v>0</v>
      </c>
      <c r="D113" s="11">
        <f t="shared" si="13"/>
        <v>11146.580400000003</v>
      </c>
      <c r="E113" s="11">
        <f t="shared" si="13"/>
        <v>7.0706999999999995</v>
      </c>
      <c r="F113" s="11">
        <f t="shared" si="13"/>
        <v>165.29480000000001</v>
      </c>
      <c r="G113" s="11">
        <f t="shared" si="13"/>
        <v>0</v>
      </c>
      <c r="H113" s="11">
        <f t="shared" si="13"/>
        <v>868.59289999999999</v>
      </c>
      <c r="I113" s="11">
        <f t="shared" si="13"/>
        <v>838.35889999999995</v>
      </c>
      <c r="J113" s="11">
        <f t="shared" si="13"/>
        <v>1860.105</v>
      </c>
      <c r="K113" s="11">
        <f t="shared" si="13"/>
        <v>1074.1607999999999</v>
      </c>
      <c r="L113" s="11">
        <f t="shared" si="13"/>
        <v>15960.163500000001</v>
      </c>
    </row>
  </sheetData>
  <mergeCells count="7">
    <mergeCell ref="A97:B97"/>
    <mergeCell ref="A113:B113"/>
    <mergeCell ref="A17:B17"/>
    <mergeCell ref="A33:B33"/>
    <mergeCell ref="A49:B49"/>
    <mergeCell ref="A65:B65"/>
    <mergeCell ref="A81:B8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3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2" width="12" customWidth="1"/>
    <col min="3" max="11" width="10" customWidth="1"/>
    <col min="12" max="12" width="12" customWidth="1"/>
  </cols>
  <sheetData>
    <row r="1" spans="1:12" ht="17.399999999999999" x14ac:dyDescent="0.3">
      <c r="A1" s="1" t="s">
        <v>37</v>
      </c>
    </row>
    <row r="3" spans="1:12" ht="15.6" x14ac:dyDescent="0.3">
      <c r="A3" s="2" t="s">
        <v>1</v>
      </c>
    </row>
    <row r="4" spans="1:12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 x14ac:dyDescent="0.3">
      <c r="A5" s="4" t="s">
        <v>14</v>
      </c>
      <c r="B5" s="5" t="s">
        <v>15</v>
      </c>
      <c r="C5" s="6">
        <v>0</v>
      </c>
      <c r="D5" s="6">
        <v>132</v>
      </c>
      <c r="E5" s="6">
        <v>0</v>
      </c>
      <c r="F5" s="6">
        <v>8</v>
      </c>
      <c r="G5" s="6">
        <v>0</v>
      </c>
      <c r="H5" s="6">
        <v>40</v>
      </c>
      <c r="I5" s="6">
        <v>8</v>
      </c>
      <c r="J5" s="6">
        <v>21</v>
      </c>
      <c r="K5" s="6">
        <v>69</v>
      </c>
      <c r="L5" s="7">
        <f t="shared" ref="L5:L16" si="0">SUM(C5:K5)</f>
        <v>278</v>
      </c>
    </row>
    <row r="6" spans="1:12" x14ac:dyDescent="0.3">
      <c r="A6" s="4" t="s">
        <v>14</v>
      </c>
      <c r="B6" s="5" t="s">
        <v>16</v>
      </c>
      <c r="C6" s="6">
        <v>0</v>
      </c>
      <c r="D6" s="6">
        <v>155</v>
      </c>
      <c r="E6" s="6">
        <v>0</v>
      </c>
      <c r="F6" s="6">
        <v>6</v>
      </c>
      <c r="G6" s="6">
        <v>0</v>
      </c>
      <c r="H6" s="6">
        <v>43</v>
      </c>
      <c r="I6" s="6">
        <v>6</v>
      </c>
      <c r="J6" s="6">
        <v>18</v>
      </c>
      <c r="K6" s="6">
        <v>67</v>
      </c>
      <c r="L6" s="7">
        <f t="shared" si="0"/>
        <v>295</v>
      </c>
    </row>
    <row r="7" spans="1:12" x14ac:dyDescent="0.3">
      <c r="A7" s="4" t="s">
        <v>14</v>
      </c>
      <c r="B7" s="5" t="s">
        <v>17</v>
      </c>
      <c r="C7" s="6">
        <v>0</v>
      </c>
      <c r="D7" s="6">
        <v>47</v>
      </c>
      <c r="E7" s="6">
        <v>0</v>
      </c>
      <c r="F7" s="6">
        <v>0</v>
      </c>
      <c r="G7" s="6">
        <v>0</v>
      </c>
      <c r="H7" s="6">
        <v>12</v>
      </c>
      <c r="I7" s="6">
        <v>0</v>
      </c>
      <c r="J7" s="6">
        <v>6</v>
      </c>
      <c r="K7" s="6">
        <v>25</v>
      </c>
      <c r="L7" s="7">
        <f t="shared" si="0"/>
        <v>90</v>
      </c>
    </row>
    <row r="8" spans="1:12" x14ac:dyDescent="0.3">
      <c r="A8" s="4" t="s">
        <v>14</v>
      </c>
      <c r="B8" s="5" t="s">
        <v>18</v>
      </c>
      <c r="C8" s="6">
        <v>0</v>
      </c>
      <c r="D8" s="6">
        <v>161</v>
      </c>
      <c r="E8" s="6">
        <v>0</v>
      </c>
      <c r="F8" s="6">
        <v>8</v>
      </c>
      <c r="G8" s="6">
        <v>0</v>
      </c>
      <c r="H8" s="6">
        <v>81</v>
      </c>
      <c r="I8" s="6">
        <v>3</v>
      </c>
      <c r="J8" s="6">
        <v>14</v>
      </c>
      <c r="K8" s="6">
        <v>64</v>
      </c>
      <c r="L8" s="7">
        <f t="shared" si="0"/>
        <v>331</v>
      </c>
    </row>
    <row r="9" spans="1:12" x14ac:dyDescent="0.3">
      <c r="A9" s="8" t="s">
        <v>19</v>
      </c>
      <c r="B9" s="5" t="s">
        <v>20</v>
      </c>
      <c r="C9" s="6">
        <v>0</v>
      </c>
      <c r="D9" s="6">
        <v>140</v>
      </c>
      <c r="E9" s="6">
        <v>0</v>
      </c>
      <c r="F9" s="6">
        <v>7</v>
      </c>
      <c r="G9" s="6">
        <v>0</v>
      </c>
      <c r="H9" s="6">
        <v>62</v>
      </c>
      <c r="I9" s="6">
        <v>11</v>
      </c>
      <c r="J9" s="6">
        <v>20</v>
      </c>
      <c r="K9" s="6">
        <v>71</v>
      </c>
      <c r="L9" s="7">
        <f t="shared" si="0"/>
        <v>311</v>
      </c>
    </row>
    <row r="10" spans="1:12" x14ac:dyDescent="0.3">
      <c r="A10" s="8" t="s">
        <v>19</v>
      </c>
      <c r="B10" s="5" t="s">
        <v>21</v>
      </c>
      <c r="C10" s="6">
        <v>0</v>
      </c>
      <c r="D10" s="6">
        <v>194</v>
      </c>
      <c r="E10" s="6">
        <v>0</v>
      </c>
      <c r="F10" s="6">
        <v>8</v>
      </c>
      <c r="G10" s="6">
        <v>0</v>
      </c>
      <c r="H10" s="6">
        <v>90</v>
      </c>
      <c r="I10" s="6">
        <v>14</v>
      </c>
      <c r="J10" s="6">
        <v>25</v>
      </c>
      <c r="K10" s="6">
        <v>99</v>
      </c>
      <c r="L10" s="7">
        <f t="shared" si="0"/>
        <v>430</v>
      </c>
    </row>
    <row r="11" spans="1:12" x14ac:dyDescent="0.3">
      <c r="A11" s="8" t="s">
        <v>19</v>
      </c>
      <c r="B11" s="5" t="s">
        <v>22</v>
      </c>
      <c r="C11" s="6">
        <v>0</v>
      </c>
      <c r="D11" s="6">
        <v>125</v>
      </c>
      <c r="E11" s="6">
        <v>0</v>
      </c>
      <c r="F11" s="6">
        <v>1</v>
      </c>
      <c r="G11" s="6">
        <v>0</v>
      </c>
      <c r="H11" s="6">
        <v>33</v>
      </c>
      <c r="I11" s="6">
        <v>10</v>
      </c>
      <c r="J11" s="6">
        <v>17</v>
      </c>
      <c r="K11" s="6">
        <v>42</v>
      </c>
      <c r="L11" s="7">
        <f t="shared" si="0"/>
        <v>228</v>
      </c>
    </row>
    <row r="12" spans="1:12" x14ac:dyDescent="0.3">
      <c r="A12" s="8" t="s">
        <v>19</v>
      </c>
      <c r="B12" s="5" t="s">
        <v>23</v>
      </c>
      <c r="C12" s="6">
        <v>0</v>
      </c>
      <c r="D12" s="6">
        <v>151</v>
      </c>
      <c r="E12" s="6">
        <v>0</v>
      </c>
      <c r="F12" s="6">
        <v>9</v>
      </c>
      <c r="G12" s="6">
        <v>0</v>
      </c>
      <c r="H12" s="6">
        <v>73</v>
      </c>
      <c r="I12" s="6">
        <v>8</v>
      </c>
      <c r="J12" s="6">
        <v>25</v>
      </c>
      <c r="K12" s="6">
        <v>37</v>
      </c>
      <c r="L12" s="7">
        <f t="shared" si="0"/>
        <v>303</v>
      </c>
    </row>
    <row r="13" spans="1:12" x14ac:dyDescent="0.3">
      <c r="A13" s="9" t="s">
        <v>24</v>
      </c>
      <c r="B13" s="5" t="s">
        <v>25</v>
      </c>
      <c r="C13" s="6">
        <v>0</v>
      </c>
      <c r="D13" s="6">
        <v>160</v>
      </c>
      <c r="E13" s="6">
        <v>0</v>
      </c>
      <c r="F13" s="6">
        <v>3</v>
      </c>
      <c r="G13" s="6">
        <v>0</v>
      </c>
      <c r="H13" s="6">
        <v>143</v>
      </c>
      <c r="I13" s="6">
        <v>14</v>
      </c>
      <c r="J13" s="6">
        <v>15</v>
      </c>
      <c r="K13" s="6">
        <v>102</v>
      </c>
      <c r="L13" s="7">
        <f t="shared" si="0"/>
        <v>437</v>
      </c>
    </row>
    <row r="14" spans="1:12" x14ac:dyDescent="0.3">
      <c r="A14" s="9" t="s">
        <v>24</v>
      </c>
      <c r="B14" s="5" t="s">
        <v>26</v>
      </c>
      <c r="C14" s="6">
        <v>0</v>
      </c>
      <c r="D14" s="6">
        <v>137</v>
      </c>
      <c r="E14" s="6">
        <v>1</v>
      </c>
      <c r="F14" s="6">
        <v>1</v>
      </c>
      <c r="G14" s="6">
        <v>0</v>
      </c>
      <c r="H14" s="6">
        <v>47</v>
      </c>
      <c r="I14" s="6">
        <v>5</v>
      </c>
      <c r="J14" s="6">
        <v>27</v>
      </c>
      <c r="K14" s="6">
        <v>36</v>
      </c>
      <c r="L14" s="7">
        <f t="shared" si="0"/>
        <v>254</v>
      </c>
    </row>
    <row r="15" spans="1:12" x14ac:dyDescent="0.3">
      <c r="A15" s="9" t="s">
        <v>24</v>
      </c>
      <c r="B15" s="5" t="s">
        <v>27</v>
      </c>
      <c r="C15" s="6">
        <v>0</v>
      </c>
      <c r="D15" s="6">
        <v>153</v>
      </c>
      <c r="E15" s="6">
        <v>0</v>
      </c>
      <c r="F15" s="6">
        <v>1</v>
      </c>
      <c r="G15" s="6">
        <v>0</v>
      </c>
      <c r="H15" s="6">
        <v>52</v>
      </c>
      <c r="I15" s="6">
        <v>6</v>
      </c>
      <c r="J15" s="6">
        <v>17</v>
      </c>
      <c r="K15" s="6">
        <v>22</v>
      </c>
      <c r="L15" s="7">
        <f t="shared" si="0"/>
        <v>251</v>
      </c>
    </row>
    <row r="16" spans="1:12" x14ac:dyDescent="0.3">
      <c r="A16" s="9" t="s">
        <v>24</v>
      </c>
      <c r="B16" s="5" t="s">
        <v>28</v>
      </c>
      <c r="C16" s="6">
        <v>0</v>
      </c>
      <c r="D16" s="6">
        <v>193</v>
      </c>
      <c r="E16" s="6">
        <v>0</v>
      </c>
      <c r="F16" s="6">
        <v>1</v>
      </c>
      <c r="G16" s="6">
        <v>0</v>
      </c>
      <c r="H16" s="6">
        <v>47</v>
      </c>
      <c r="I16" s="6">
        <v>7</v>
      </c>
      <c r="J16" s="6">
        <v>35</v>
      </c>
      <c r="K16" s="6">
        <v>51</v>
      </c>
      <c r="L16" s="7">
        <f t="shared" si="0"/>
        <v>334</v>
      </c>
    </row>
    <row r="17" spans="1:12" x14ac:dyDescent="0.3">
      <c r="A17" s="27" t="s">
        <v>29</v>
      </c>
      <c r="B17" s="27"/>
      <c r="C17" s="7">
        <f t="shared" ref="C17:L17" si="1">SUM(C5:C16)</f>
        <v>0</v>
      </c>
      <c r="D17" s="7">
        <f t="shared" si="1"/>
        <v>1748</v>
      </c>
      <c r="E17" s="7">
        <f t="shared" si="1"/>
        <v>1</v>
      </c>
      <c r="F17" s="7">
        <f t="shared" si="1"/>
        <v>53</v>
      </c>
      <c r="G17" s="7">
        <f t="shared" si="1"/>
        <v>0</v>
      </c>
      <c r="H17" s="7">
        <f t="shared" si="1"/>
        <v>723</v>
      </c>
      <c r="I17" s="7">
        <f t="shared" si="1"/>
        <v>92</v>
      </c>
      <c r="J17" s="7">
        <f t="shared" si="1"/>
        <v>240</v>
      </c>
      <c r="K17" s="7">
        <f t="shared" si="1"/>
        <v>685</v>
      </c>
      <c r="L17" s="7">
        <f t="shared" si="1"/>
        <v>3542</v>
      </c>
    </row>
    <row r="19" spans="1:12" ht="15.6" x14ac:dyDescent="0.3">
      <c r="A19" s="2" t="s">
        <v>30</v>
      </c>
    </row>
    <row r="20" spans="1:12" x14ac:dyDescent="0.3">
      <c r="A20" s="3" t="s">
        <v>2</v>
      </c>
      <c r="B20" s="3" t="s">
        <v>3</v>
      </c>
      <c r="C20" s="3" t="s">
        <v>4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9</v>
      </c>
      <c r="I20" s="3" t="s">
        <v>10</v>
      </c>
      <c r="J20" s="3" t="s">
        <v>11</v>
      </c>
      <c r="K20" s="3" t="s">
        <v>12</v>
      </c>
      <c r="L20" s="3" t="s">
        <v>13</v>
      </c>
    </row>
    <row r="21" spans="1:12" x14ac:dyDescent="0.3">
      <c r="A21" s="4" t="s">
        <v>14</v>
      </c>
      <c r="B21" s="5" t="s">
        <v>15</v>
      </c>
      <c r="C21" s="10">
        <v>0</v>
      </c>
      <c r="D21" s="10">
        <v>37.515500000000003</v>
      </c>
      <c r="E21" s="10">
        <v>0</v>
      </c>
      <c r="F21" s="10">
        <v>0.1895</v>
      </c>
      <c r="G21" s="10">
        <v>0</v>
      </c>
      <c r="H21" s="10">
        <v>1.8947000000000001</v>
      </c>
      <c r="I21" s="10">
        <v>0.37890000000000001</v>
      </c>
      <c r="J21" s="10">
        <v>2.9842</v>
      </c>
      <c r="K21" s="10">
        <v>8.1709999999999994</v>
      </c>
      <c r="L21" s="11">
        <f t="shared" ref="L21:L32" si="2">SUM(C21:K21)</f>
        <v>51.133800000000008</v>
      </c>
    </row>
    <row r="22" spans="1:12" x14ac:dyDescent="0.3">
      <c r="A22" s="4" t="s">
        <v>14</v>
      </c>
      <c r="B22" s="5" t="s">
        <v>16</v>
      </c>
      <c r="C22" s="10">
        <v>0</v>
      </c>
      <c r="D22" s="10">
        <v>40.611499999999999</v>
      </c>
      <c r="E22" s="10">
        <v>0</v>
      </c>
      <c r="F22" s="10">
        <v>0.13100000000000001</v>
      </c>
      <c r="G22" s="10">
        <v>0</v>
      </c>
      <c r="H22" s="10">
        <v>1.8776999999999999</v>
      </c>
      <c r="I22" s="10">
        <v>0.26200000000000001</v>
      </c>
      <c r="J22" s="10">
        <v>2.3580999999999999</v>
      </c>
      <c r="K22" s="10">
        <v>7.3144</v>
      </c>
      <c r="L22" s="11">
        <f t="shared" si="2"/>
        <v>52.554699999999997</v>
      </c>
    </row>
    <row r="23" spans="1:12" x14ac:dyDescent="0.3">
      <c r="A23" s="4" t="s">
        <v>14</v>
      </c>
      <c r="B23" s="5" t="s">
        <v>17</v>
      </c>
      <c r="C23" s="10">
        <v>0</v>
      </c>
      <c r="D23" s="10">
        <v>13.9635</v>
      </c>
      <c r="E23" s="10">
        <v>0</v>
      </c>
      <c r="F23" s="10">
        <v>0</v>
      </c>
      <c r="G23" s="10">
        <v>0</v>
      </c>
      <c r="H23" s="10">
        <v>0.59419999999999995</v>
      </c>
      <c r="I23" s="10">
        <v>0</v>
      </c>
      <c r="J23" s="10">
        <v>0.89129999999999998</v>
      </c>
      <c r="K23" s="10">
        <v>3.0947</v>
      </c>
      <c r="L23" s="11">
        <f t="shared" si="2"/>
        <v>18.543700000000001</v>
      </c>
    </row>
    <row r="24" spans="1:12" x14ac:dyDescent="0.3">
      <c r="A24" s="4" t="s">
        <v>14</v>
      </c>
      <c r="B24" s="5" t="s">
        <v>18</v>
      </c>
      <c r="C24" s="10">
        <v>0</v>
      </c>
      <c r="D24" s="10">
        <v>76.941400000000002</v>
      </c>
      <c r="E24" s="10">
        <v>0</v>
      </c>
      <c r="F24" s="10">
        <v>0.31859999999999999</v>
      </c>
      <c r="G24" s="10">
        <v>0</v>
      </c>
      <c r="H24" s="10">
        <v>6.4516</v>
      </c>
      <c r="I24" s="10">
        <v>0.2389</v>
      </c>
      <c r="J24" s="10">
        <v>3.3452999999999999</v>
      </c>
      <c r="K24" s="10">
        <v>12.7439</v>
      </c>
      <c r="L24" s="11">
        <f t="shared" si="2"/>
        <v>100.0397</v>
      </c>
    </row>
    <row r="25" spans="1:12" x14ac:dyDescent="0.3">
      <c r="A25" s="8" t="s">
        <v>19</v>
      </c>
      <c r="B25" s="5" t="s">
        <v>20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1">
        <f t="shared" si="2"/>
        <v>0</v>
      </c>
    </row>
    <row r="26" spans="1:12" x14ac:dyDescent="0.3">
      <c r="A26" s="8" t="s">
        <v>19</v>
      </c>
      <c r="B26" s="5" t="s">
        <v>21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1">
        <f t="shared" si="2"/>
        <v>0</v>
      </c>
    </row>
    <row r="27" spans="1:12" x14ac:dyDescent="0.3">
      <c r="A27" s="8" t="s">
        <v>19</v>
      </c>
      <c r="B27" s="5" t="s">
        <v>22</v>
      </c>
      <c r="C27" s="10">
        <v>0</v>
      </c>
      <c r="D27" s="10">
        <v>78.877200000000002</v>
      </c>
      <c r="E27" s="10">
        <v>0</v>
      </c>
      <c r="F27" s="10">
        <v>5.2600000000000001E-2</v>
      </c>
      <c r="G27" s="10">
        <v>0</v>
      </c>
      <c r="H27" s="10">
        <v>3.4706000000000001</v>
      </c>
      <c r="I27" s="10">
        <v>1.0517000000000001</v>
      </c>
      <c r="J27" s="10">
        <v>5.3635999999999999</v>
      </c>
      <c r="K27" s="10">
        <v>11.0428</v>
      </c>
      <c r="L27" s="11">
        <f t="shared" si="2"/>
        <v>99.858500000000006</v>
      </c>
    </row>
    <row r="28" spans="1:12" x14ac:dyDescent="0.3">
      <c r="A28" s="8" t="s">
        <v>19</v>
      </c>
      <c r="B28" s="5" t="s">
        <v>23</v>
      </c>
      <c r="C28" s="10">
        <v>0</v>
      </c>
      <c r="D28" s="10">
        <v>54.1721</v>
      </c>
      <c r="E28" s="10">
        <v>0</v>
      </c>
      <c r="F28" s="10">
        <v>0.26910000000000001</v>
      </c>
      <c r="G28" s="10">
        <v>0</v>
      </c>
      <c r="H28" s="10">
        <v>4.3648999999999996</v>
      </c>
      <c r="I28" s="10">
        <v>0.4783</v>
      </c>
      <c r="J28" s="10">
        <v>4.4843999999999999</v>
      </c>
      <c r="K28" s="10">
        <v>5.5308000000000002</v>
      </c>
      <c r="L28" s="11">
        <f t="shared" si="2"/>
        <v>69.299599999999998</v>
      </c>
    </row>
    <row r="29" spans="1:12" x14ac:dyDescent="0.3">
      <c r="A29" s="9" t="s">
        <v>24</v>
      </c>
      <c r="B29" s="5" t="s">
        <v>25</v>
      </c>
      <c r="C29" s="10">
        <v>0</v>
      </c>
      <c r="D29" s="10">
        <v>67.877099999999999</v>
      </c>
      <c r="E29" s="10">
        <v>0</v>
      </c>
      <c r="F29" s="10">
        <v>0.1061</v>
      </c>
      <c r="G29" s="10">
        <v>0</v>
      </c>
      <c r="H29" s="10">
        <v>10.110900000000001</v>
      </c>
      <c r="I29" s="10">
        <v>0.9899</v>
      </c>
      <c r="J29" s="10">
        <v>3.1817000000000002</v>
      </c>
      <c r="K29" s="10">
        <v>18.029900000000001</v>
      </c>
      <c r="L29" s="11">
        <f t="shared" si="2"/>
        <v>100.29560000000001</v>
      </c>
    </row>
    <row r="30" spans="1:12" x14ac:dyDescent="0.3">
      <c r="A30" s="9" t="s">
        <v>24</v>
      </c>
      <c r="B30" s="5" t="s">
        <v>26</v>
      </c>
      <c r="C30" s="10">
        <v>0</v>
      </c>
      <c r="D30" s="10">
        <v>42.7776</v>
      </c>
      <c r="E30" s="10">
        <v>2.5999999999999999E-2</v>
      </c>
      <c r="F30" s="10">
        <v>2.5999999999999999E-2</v>
      </c>
      <c r="G30" s="10">
        <v>0</v>
      </c>
      <c r="H30" s="10">
        <v>2.4459</v>
      </c>
      <c r="I30" s="10">
        <v>0.26019999999999999</v>
      </c>
      <c r="J30" s="10">
        <v>4.2153</v>
      </c>
      <c r="K30" s="10">
        <v>4.6837</v>
      </c>
      <c r="L30" s="11">
        <f t="shared" si="2"/>
        <v>54.434700000000007</v>
      </c>
    </row>
    <row r="31" spans="1:12" x14ac:dyDescent="0.3">
      <c r="A31" s="9" t="s">
        <v>24</v>
      </c>
      <c r="B31" s="5" t="s">
        <v>27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1">
        <f t="shared" si="2"/>
        <v>0</v>
      </c>
    </row>
    <row r="32" spans="1:12" x14ac:dyDescent="0.3">
      <c r="A32" s="9" t="s">
        <v>24</v>
      </c>
      <c r="B32" s="5" t="s">
        <v>28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1">
        <f t="shared" si="2"/>
        <v>0</v>
      </c>
    </row>
    <row r="33" spans="1:12" x14ac:dyDescent="0.3">
      <c r="A33" s="27" t="s">
        <v>29</v>
      </c>
      <c r="B33" s="27"/>
      <c r="C33" s="11">
        <f t="shared" ref="C33:L33" si="3">SUM(C21:C32)</f>
        <v>0</v>
      </c>
      <c r="D33" s="11">
        <f t="shared" si="3"/>
        <v>412.73590000000002</v>
      </c>
      <c r="E33" s="11">
        <f t="shared" si="3"/>
        <v>2.5999999999999999E-2</v>
      </c>
      <c r="F33" s="11">
        <f t="shared" si="3"/>
        <v>1.0929</v>
      </c>
      <c r="G33" s="11">
        <f t="shared" si="3"/>
        <v>0</v>
      </c>
      <c r="H33" s="11">
        <f t="shared" si="3"/>
        <v>31.210500000000003</v>
      </c>
      <c r="I33" s="11">
        <f t="shared" si="3"/>
        <v>3.6599000000000004</v>
      </c>
      <c r="J33" s="11">
        <f t="shared" si="3"/>
        <v>26.823899999999998</v>
      </c>
      <c r="K33" s="11">
        <f t="shared" si="3"/>
        <v>70.611199999999997</v>
      </c>
      <c r="L33" s="11">
        <f t="shared" si="3"/>
        <v>546.16030000000001</v>
      </c>
    </row>
    <row r="35" spans="1:12" ht="15.6" x14ac:dyDescent="0.3">
      <c r="A35" s="2" t="s">
        <v>31</v>
      </c>
    </row>
    <row r="36" spans="1:12" x14ac:dyDescent="0.3">
      <c r="A36" s="3" t="s">
        <v>2</v>
      </c>
      <c r="B36" s="3" t="s">
        <v>3</v>
      </c>
      <c r="C36" s="3" t="s">
        <v>4</v>
      </c>
      <c r="D36" s="3" t="s">
        <v>5</v>
      </c>
      <c r="E36" s="3" t="s">
        <v>6</v>
      </c>
      <c r="F36" s="3" t="s">
        <v>7</v>
      </c>
      <c r="G36" s="3" t="s">
        <v>8</v>
      </c>
      <c r="H36" s="3" t="s">
        <v>9</v>
      </c>
      <c r="I36" s="3" t="s">
        <v>10</v>
      </c>
      <c r="J36" s="3" t="s">
        <v>11</v>
      </c>
      <c r="K36" s="3" t="s">
        <v>12</v>
      </c>
      <c r="L36" s="3" t="s">
        <v>13</v>
      </c>
    </row>
    <row r="37" spans="1:12" x14ac:dyDescent="0.3">
      <c r="A37" s="4" t="s">
        <v>14</v>
      </c>
      <c r="B37" s="5" t="s">
        <v>15</v>
      </c>
      <c r="C37" s="10">
        <v>0</v>
      </c>
      <c r="D37" s="10">
        <v>587.4212</v>
      </c>
      <c r="E37" s="10">
        <v>0</v>
      </c>
      <c r="F37" s="10">
        <v>0</v>
      </c>
      <c r="G37" s="10">
        <v>0</v>
      </c>
      <c r="H37" s="10">
        <v>45.069699999999997</v>
      </c>
      <c r="I37" s="10">
        <v>41.563699999999997</v>
      </c>
      <c r="J37" s="10">
        <v>101.26479999999999</v>
      </c>
      <c r="K37" s="10">
        <v>0.1966</v>
      </c>
      <c r="L37" s="11">
        <f t="shared" ref="L37:L48" si="4">SUM(C37:K37)</f>
        <v>775.51600000000008</v>
      </c>
    </row>
    <row r="38" spans="1:12" x14ac:dyDescent="0.3">
      <c r="A38" s="4" t="s">
        <v>14</v>
      </c>
      <c r="B38" s="5" t="s">
        <v>16</v>
      </c>
      <c r="C38" s="10">
        <v>0</v>
      </c>
      <c r="D38" s="10">
        <v>343.02690000000001</v>
      </c>
      <c r="E38" s="10">
        <v>0</v>
      </c>
      <c r="F38" s="10">
        <v>0</v>
      </c>
      <c r="G38" s="10">
        <v>0</v>
      </c>
      <c r="H38" s="10">
        <v>24.0943</v>
      </c>
      <c r="I38" s="10">
        <v>15.5023</v>
      </c>
      <c r="J38" s="10">
        <v>43.165100000000002</v>
      </c>
      <c r="K38" s="10">
        <v>9.5000000000000001E-2</v>
      </c>
      <c r="L38" s="11">
        <f t="shared" si="4"/>
        <v>425.8836</v>
      </c>
    </row>
    <row r="39" spans="1:12" x14ac:dyDescent="0.3">
      <c r="A39" s="4" t="s">
        <v>14</v>
      </c>
      <c r="B39" s="5" t="s">
        <v>17</v>
      </c>
      <c r="C39" s="10">
        <v>0</v>
      </c>
      <c r="D39" s="10">
        <v>314.72859999999997</v>
      </c>
      <c r="E39" s="10">
        <v>0</v>
      </c>
      <c r="F39" s="10">
        <v>0</v>
      </c>
      <c r="G39" s="10">
        <v>0</v>
      </c>
      <c r="H39" s="10">
        <v>20.345500000000001</v>
      </c>
      <c r="I39" s="10">
        <v>0</v>
      </c>
      <c r="J39" s="10">
        <v>43.536499999999997</v>
      </c>
      <c r="K39" s="10">
        <v>0.1072</v>
      </c>
      <c r="L39" s="11">
        <f t="shared" si="4"/>
        <v>378.71779999999995</v>
      </c>
    </row>
    <row r="40" spans="1:12" x14ac:dyDescent="0.3">
      <c r="A40" s="4" t="s">
        <v>14</v>
      </c>
      <c r="B40" s="5" t="s">
        <v>18</v>
      </c>
      <c r="C40" s="10">
        <v>0</v>
      </c>
      <c r="D40" s="10">
        <v>114.6765</v>
      </c>
      <c r="E40" s="10">
        <v>0</v>
      </c>
      <c r="F40" s="10">
        <v>0</v>
      </c>
      <c r="G40" s="10">
        <v>0</v>
      </c>
      <c r="H40" s="10">
        <v>14.607699999999999</v>
      </c>
      <c r="I40" s="10">
        <v>2.4946999999999999</v>
      </c>
      <c r="J40" s="10">
        <v>10.805400000000001</v>
      </c>
      <c r="K40" s="10">
        <v>2.92E-2</v>
      </c>
      <c r="L40" s="11">
        <f t="shared" si="4"/>
        <v>142.61349999999999</v>
      </c>
    </row>
    <row r="41" spans="1:12" x14ac:dyDescent="0.3">
      <c r="A41" s="8" t="s">
        <v>19</v>
      </c>
      <c r="B41" s="5" t="s">
        <v>20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1">
        <f t="shared" si="4"/>
        <v>0</v>
      </c>
    </row>
    <row r="42" spans="1:12" x14ac:dyDescent="0.3">
      <c r="A42" s="8" t="s">
        <v>19</v>
      </c>
      <c r="B42" s="5" t="s">
        <v>21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1">
        <f t="shared" si="4"/>
        <v>0</v>
      </c>
    </row>
    <row r="43" spans="1:12" x14ac:dyDescent="0.3">
      <c r="A43" s="8" t="s">
        <v>19</v>
      </c>
      <c r="B43" s="5" t="s">
        <v>22</v>
      </c>
      <c r="C43" s="10">
        <v>0</v>
      </c>
      <c r="D43" s="10">
        <v>133.36259999999999</v>
      </c>
      <c r="E43" s="10">
        <v>0</v>
      </c>
      <c r="F43" s="10">
        <v>0</v>
      </c>
      <c r="G43" s="10">
        <v>0</v>
      </c>
      <c r="H43" s="10">
        <v>8.9143000000000008</v>
      </c>
      <c r="I43" s="10">
        <v>12.4558</v>
      </c>
      <c r="J43" s="10">
        <v>19.653300000000002</v>
      </c>
      <c r="K43" s="10">
        <v>2.87E-2</v>
      </c>
      <c r="L43" s="11">
        <f t="shared" si="4"/>
        <v>174.41469999999998</v>
      </c>
    </row>
    <row r="44" spans="1:12" x14ac:dyDescent="0.3">
      <c r="A44" s="8" t="s">
        <v>19</v>
      </c>
      <c r="B44" s="5" t="s">
        <v>23</v>
      </c>
      <c r="C44" s="10">
        <v>0</v>
      </c>
      <c r="D44" s="10">
        <v>111.59350000000001</v>
      </c>
      <c r="E44" s="10">
        <v>0</v>
      </c>
      <c r="F44" s="10">
        <v>0</v>
      </c>
      <c r="G44" s="10">
        <v>0</v>
      </c>
      <c r="H44" s="10">
        <v>13.6595</v>
      </c>
      <c r="I44" s="10">
        <v>6.9024000000000001</v>
      </c>
      <c r="J44" s="10">
        <v>20.020099999999999</v>
      </c>
      <c r="K44" s="10">
        <v>1.7500000000000002E-2</v>
      </c>
      <c r="L44" s="11">
        <f t="shared" si="4"/>
        <v>152.19300000000001</v>
      </c>
    </row>
    <row r="45" spans="1:12" x14ac:dyDescent="0.3">
      <c r="A45" s="9" t="s">
        <v>24</v>
      </c>
      <c r="B45" s="5" t="s">
        <v>25</v>
      </c>
      <c r="C45" s="10">
        <v>0</v>
      </c>
      <c r="D45" s="10">
        <v>169.61420000000001</v>
      </c>
      <c r="E45" s="10">
        <v>0</v>
      </c>
      <c r="F45" s="10">
        <v>0</v>
      </c>
      <c r="G45" s="10">
        <v>0</v>
      </c>
      <c r="H45" s="10">
        <v>38.381999999999998</v>
      </c>
      <c r="I45" s="10">
        <v>17.326799999999999</v>
      </c>
      <c r="J45" s="10">
        <v>17.230499999999999</v>
      </c>
      <c r="K45" s="10">
        <v>6.9199999999999998E-2</v>
      </c>
      <c r="L45" s="11">
        <f t="shared" si="4"/>
        <v>242.62270000000001</v>
      </c>
    </row>
    <row r="46" spans="1:12" x14ac:dyDescent="0.3">
      <c r="A46" s="9" t="s">
        <v>24</v>
      </c>
      <c r="B46" s="5" t="s">
        <v>26</v>
      </c>
      <c r="C46" s="10">
        <v>0</v>
      </c>
      <c r="D46" s="10">
        <v>336.41219999999998</v>
      </c>
      <c r="E46" s="10">
        <v>0</v>
      </c>
      <c r="F46" s="10">
        <v>0</v>
      </c>
      <c r="G46" s="10">
        <v>0</v>
      </c>
      <c r="H46" s="10">
        <v>29.2212</v>
      </c>
      <c r="I46" s="10">
        <v>14.334099999999999</v>
      </c>
      <c r="J46" s="10">
        <v>71.841999999999999</v>
      </c>
      <c r="K46" s="10">
        <v>5.6599999999999998E-2</v>
      </c>
      <c r="L46" s="11">
        <f t="shared" si="4"/>
        <v>451.86609999999996</v>
      </c>
    </row>
    <row r="47" spans="1:12" x14ac:dyDescent="0.3">
      <c r="A47" s="9" t="s">
        <v>24</v>
      </c>
      <c r="B47" s="5" t="s">
        <v>27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1">
        <f t="shared" si="4"/>
        <v>0</v>
      </c>
    </row>
    <row r="48" spans="1:12" x14ac:dyDescent="0.3">
      <c r="A48" s="9" t="s">
        <v>24</v>
      </c>
      <c r="B48" s="5" t="s">
        <v>28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1">
        <f t="shared" si="4"/>
        <v>0</v>
      </c>
    </row>
    <row r="49" spans="1:12" x14ac:dyDescent="0.3">
      <c r="A49" s="27" t="s">
        <v>29</v>
      </c>
      <c r="B49" s="27"/>
      <c r="C49" s="11">
        <f t="shared" ref="C49:L49" si="5">SUM(C37:C48)</f>
        <v>0</v>
      </c>
      <c r="D49" s="11">
        <f t="shared" si="5"/>
        <v>2110.8356999999996</v>
      </c>
      <c r="E49" s="11">
        <f t="shared" si="5"/>
        <v>0</v>
      </c>
      <c r="F49" s="11">
        <f t="shared" si="5"/>
        <v>0</v>
      </c>
      <c r="G49" s="11">
        <f t="shared" si="5"/>
        <v>0</v>
      </c>
      <c r="H49" s="11">
        <f t="shared" si="5"/>
        <v>194.29419999999999</v>
      </c>
      <c r="I49" s="11">
        <f t="shared" si="5"/>
        <v>110.57980000000001</v>
      </c>
      <c r="J49" s="11">
        <f t="shared" si="5"/>
        <v>327.51769999999999</v>
      </c>
      <c r="K49" s="11">
        <f t="shared" si="5"/>
        <v>0.6</v>
      </c>
      <c r="L49" s="11">
        <f t="shared" si="5"/>
        <v>2743.8274000000001</v>
      </c>
    </row>
    <row r="51" spans="1:12" ht="15.6" x14ac:dyDescent="0.3">
      <c r="A51" s="2" t="s">
        <v>32</v>
      </c>
    </row>
    <row r="52" spans="1:12" x14ac:dyDescent="0.3">
      <c r="A52" s="3" t="s">
        <v>2</v>
      </c>
      <c r="B52" s="3" t="s">
        <v>3</v>
      </c>
      <c r="C52" s="3" t="s">
        <v>4</v>
      </c>
      <c r="D52" s="3" t="s">
        <v>5</v>
      </c>
      <c r="E52" s="3" t="s">
        <v>6</v>
      </c>
      <c r="F52" s="3" t="s">
        <v>7</v>
      </c>
      <c r="G52" s="3" t="s">
        <v>8</v>
      </c>
      <c r="H52" s="3" t="s">
        <v>9</v>
      </c>
      <c r="I52" s="3" t="s">
        <v>10</v>
      </c>
      <c r="J52" s="3" t="s">
        <v>11</v>
      </c>
      <c r="K52" s="3" t="s">
        <v>12</v>
      </c>
      <c r="L52" s="3" t="s">
        <v>13</v>
      </c>
    </row>
    <row r="53" spans="1:12" x14ac:dyDescent="0.3">
      <c r="A53" s="4" t="s">
        <v>14</v>
      </c>
      <c r="B53" s="5" t="s">
        <v>15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1">
        <f t="shared" ref="L53:L64" si="6">SUM(C53:K53)</f>
        <v>0</v>
      </c>
    </row>
    <row r="54" spans="1:12" x14ac:dyDescent="0.3">
      <c r="A54" s="4" t="s">
        <v>14</v>
      </c>
      <c r="B54" s="5" t="s">
        <v>16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1">
        <f t="shared" si="6"/>
        <v>0</v>
      </c>
    </row>
    <row r="55" spans="1:12" x14ac:dyDescent="0.3">
      <c r="A55" s="4" t="s">
        <v>14</v>
      </c>
      <c r="B55" s="5" t="s">
        <v>17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1">
        <f t="shared" si="6"/>
        <v>0</v>
      </c>
    </row>
    <row r="56" spans="1:12" x14ac:dyDescent="0.3">
      <c r="A56" s="4" t="s">
        <v>14</v>
      </c>
      <c r="B56" s="5" t="s">
        <v>18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1">
        <f t="shared" si="6"/>
        <v>0</v>
      </c>
    </row>
    <row r="57" spans="1:12" x14ac:dyDescent="0.3">
      <c r="A57" s="8" t="s">
        <v>19</v>
      </c>
      <c r="B57" s="5" t="s">
        <v>20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1">
        <f t="shared" si="6"/>
        <v>0</v>
      </c>
    </row>
    <row r="58" spans="1:12" x14ac:dyDescent="0.3">
      <c r="A58" s="8" t="s">
        <v>19</v>
      </c>
      <c r="B58" s="5" t="s">
        <v>21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1">
        <f t="shared" si="6"/>
        <v>0</v>
      </c>
    </row>
    <row r="59" spans="1:12" x14ac:dyDescent="0.3">
      <c r="A59" s="8" t="s">
        <v>19</v>
      </c>
      <c r="B59" s="5" t="s">
        <v>22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1">
        <f t="shared" si="6"/>
        <v>0</v>
      </c>
    </row>
    <row r="60" spans="1:12" x14ac:dyDescent="0.3">
      <c r="A60" s="8" t="s">
        <v>19</v>
      </c>
      <c r="B60" s="5" t="s">
        <v>23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1">
        <f t="shared" si="6"/>
        <v>0</v>
      </c>
    </row>
    <row r="61" spans="1:12" x14ac:dyDescent="0.3">
      <c r="A61" s="9" t="s">
        <v>24</v>
      </c>
      <c r="B61" s="5" t="s">
        <v>25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1">
        <f t="shared" si="6"/>
        <v>0</v>
      </c>
    </row>
    <row r="62" spans="1:12" x14ac:dyDescent="0.3">
      <c r="A62" s="9" t="s">
        <v>24</v>
      </c>
      <c r="B62" s="5" t="s">
        <v>26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1">
        <f t="shared" si="6"/>
        <v>0</v>
      </c>
    </row>
    <row r="63" spans="1:12" x14ac:dyDescent="0.3">
      <c r="A63" s="9" t="s">
        <v>24</v>
      </c>
      <c r="B63" s="5" t="s">
        <v>27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1">
        <f t="shared" si="6"/>
        <v>0</v>
      </c>
    </row>
    <row r="64" spans="1:12" x14ac:dyDescent="0.3">
      <c r="A64" s="9" t="s">
        <v>24</v>
      </c>
      <c r="B64" s="5" t="s">
        <v>28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1">
        <f t="shared" si="6"/>
        <v>0</v>
      </c>
    </row>
    <row r="65" spans="1:12" x14ac:dyDescent="0.3">
      <c r="A65" s="27" t="s">
        <v>29</v>
      </c>
      <c r="B65" s="27"/>
      <c r="C65" s="11">
        <f t="shared" ref="C65:L65" si="7">SUM(C53:C64)</f>
        <v>0</v>
      </c>
      <c r="D65" s="11">
        <f t="shared" si="7"/>
        <v>0</v>
      </c>
      <c r="E65" s="11">
        <f t="shared" si="7"/>
        <v>0</v>
      </c>
      <c r="F65" s="11">
        <f t="shared" si="7"/>
        <v>0</v>
      </c>
      <c r="G65" s="11">
        <f t="shared" si="7"/>
        <v>0</v>
      </c>
      <c r="H65" s="11">
        <f t="shared" si="7"/>
        <v>0</v>
      </c>
      <c r="I65" s="11">
        <f t="shared" si="7"/>
        <v>0</v>
      </c>
      <c r="J65" s="11">
        <f t="shared" si="7"/>
        <v>0</v>
      </c>
      <c r="K65" s="11">
        <f t="shared" si="7"/>
        <v>0</v>
      </c>
      <c r="L65" s="11">
        <f t="shared" si="7"/>
        <v>0</v>
      </c>
    </row>
    <row r="67" spans="1:12" ht="15.6" x14ac:dyDescent="0.3">
      <c r="A67" s="2" t="s">
        <v>33</v>
      </c>
    </row>
    <row r="68" spans="1:12" x14ac:dyDescent="0.3">
      <c r="A68" s="3" t="s">
        <v>2</v>
      </c>
      <c r="B68" s="3" t="s">
        <v>3</v>
      </c>
      <c r="C68" s="3" t="s">
        <v>4</v>
      </c>
      <c r="D68" s="3" t="s">
        <v>5</v>
      </c>
      <c r="E68" s="3" t="s">
        <v>6</v>
      </c>
      <c r="F68" s="3" t="s">
        <v>7</v>
      </c>
      <c r="G68" s="3" t="s">
        <v>8</v>
      </c>
      <c r="H68" s="3" t="s">
        <v>9</v>
      </c>
      <c r="I68" s="3" t="s">
        <v>10</v>
      </c>
      <c r="J68" s="3" t="s">
        <v>11</v>
      </c>
      <c r="K68" s="3" t="s">
        <v>12</v>
      </c>
      <c r="L68" s="3" t="s">
        <v>13</v>
      </c>
    </row>
    <row r="69" spans="1:12" x14ac:dyDescent="0.3">
      <c r="A69" s="4" t="s">
        <v>14</v>
      </c>
      <c r="B69" s="5" t="s">
        <v>15</v>
      </c>
      <c r="C69" s="10">
        <v>0</v>
      </c>
      <c r="D69" s="10">
        <v>51.898000000000003</v>
      </c>
      <c r="E69" s="10">
        <v>0</v>
      </c>
      <c r="F69" s="10">
        <v>0</v>
      </c>
      <c r="G69" s="10">
        <v>0</v>
      </c>
      <c r="H69" s="10">
        <v>4.2548000000000004</v>
      </c>
      <c r="I69" s="10">
        <v>31.478400000000001</v>
      </c>
      <c r="J69" s="10">
        <v>57.0929</v>
      </c>
      <c r="K69" s="10">
        <v>33.495899999999999</v>
      </c>
      <c r="L69" s="11">
        <f t="shared" ref="L69:L80" si="8">SUM(C69:K69)</f>
        <v>178.22000000000003</v>
      </c>
    </row>
    <row r="70" spans="1:12" x14ac:dyDescent="0.3">
      <c r="A70" s="4" t="s">
        <v>14</v>
      </c>
      <c r="B70" s="5" t="s">
        <v>16</v>
      </c>
      <c r="C70" s="10">
        <v>0</v>
      </c>
      <c r="D70" s="10">
        <v>30.306100000000001</v>
      </c>
      <c r="E70" s="10">
        <v>0</v>
      </c>
      <c r="F70" s="10">
        <v>0</v>
      </c>
      <c r="G70" s="10">
        <v>0</v>
      </c>
      <c r="H70" s="10">
        <v>2.2746</v>
      </c>
      <c r="I70" s="10">
        <v>11.7407</v>
      </c>
      <c r="J70" s="10">
        <v>24.336400000000001</v>
      </c>
      <c r="K70" s="10">
        <v>16.174800000000001</v>
      </c>
      <c r="L70" s="11">
        <f t="shared" si="8"/>
        <v>84.832599999999999</v>
      </c>
    </row>
    <row r="71" spans="1:12" x14ac:dyDescent="0.3">
      <c r="A71" s="4" t="s">
        <v>14</v>
      </c>
      <c r="B71" s="5" t="s">
        <v>17</v>
      </c>
      <c r="C71" s="10">
        <v>0</v>
      </c>
      <c r="D71" s="10">
        <v>27.805900000000001</v>
      </c>
      <c r="E71" s="10">
        <v>0</v>
      </c>
      <c r="F71" s="10">
        <v>0</v>
      </c>
      <c r="G71" s="10">
        <v>0</v>
      </c>
      <c r="H71" s="10">
        <v>1.9207000000000001</v>
      </c>
      <c r="I71" s="10">
        <v>0</v>
      </c>
      <c r="J71" s="10">
        <v>24.5458</v>
      </c>
      <c r="K71" s="10">
        <v>18.261900000000001</v>
      </c>
      <c r="L71" s="11">
        <f t="shared" si="8"/>
        <v>72.534300000000002</v>
      </c>
    </row>
    <row r="72" spans="1:12" x14ac:dyDescent="0.3">
      <c r="A72" s="4" t="s">
        <v>14</v>
      </c>
      <c r="B72" s="5" t="s">
        <v>18</v>
      </c>
      <c r="C72" s="10">
        <v>0</v>
      </c>
      <c r="D72" s="10">
        <v>10.131600000000001</v>
      </c>
      <c r="E72" s="10">
        <v>0</v>
      </c>
      <c r="F72" s="10">
        <v>0</v>
      </c>
      <c r="G72" s="10">
        <v>0</v>
      </c>
      <c r="H72" s="10">
        <v>1.379</v>
      </c>
      <c r="I72" s="10">
        <v>1.8894</v>
      </c>
      <c r="J72" s="10">
        <v>6.0921000000000003</v>
      </c>
      <c r="K72" s="10">
        <v>4.9726999999999997</v>
      </c>
      <c r="L72" s="11">
        <f t="shared" si="8"/>
        <v>24.4648</v>
      </c>
    </row>
    <row r="73" spans="1:12" x14ac:dyDescent="0.3">
      <c r="A73" s="8" t="s">
        <v>19</v>
      </c>
      <c r="B73" s="5" t="s">
        <v>20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1">
        <f t="shared" si="8"/>
        <v>0</v>
      </c>
    </row>
    <row r="74" spans="1:12" x14ac:dyDescent="0.3">
      <c r="A74" s="8" t="s">
        <v>19</v>
      </c>
      <c r="B74" s="5" t="s">
        <v>21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1">
        <f t="shared" si="8"/>
        <v>0</v>
      </c>
    </row>
    <row r="75" spans="1:12" x14ac:dyDescent="0.3">
      <c r="A75" s="8" t="s">
        <v>19</v>
      </c>
      <c r="B75" s="5" t="s">
        <v>22</v>
      </c>
      <c r="C75" s="10">
        <v>0</v>
      </c>
      <c r="D75" s="10">
        <v>11.782400000000001</v>
      </c>
      <c r="E75" s="10">
        <v>0</v>
      </c>
      <c r="F75" s="10">
        <v>0</v>
      </c>
      <c r="G75" s="10">
        <v>0</v>
      </c>
      <c r="H75" s="10">
        <v>0.84150000000000003</v>
      </c>
      <c r="I75" s="10">
        <v>9.4335000000000004</v>
      </c>
      <c r="J75" s="10">
        <v>11.080500000000001</v>
      </c>
      <c r="K75" s="10">
        <v>4.8880999999999997</v>
      </c>
      <c r="L75" s="11">
        <f t="shared" si="8"/>
        <v>38.026000000000003</v>
      </c>
    </row>
    <row r="76" spans="1:12" x14ac:dyDescent="0.3">
      <c r="A76" s="8" t="s">
        <v>19</v>
      </c>
      <c r="B76" s="5" t="s">
        <v>23</v>
      </c>
      <c r="C76" s="10">
        <v>0</v>
      </c>
      <c r="D76" s="10">
        <v>9.8591999999999995</v>
      </c>
      <c r="E76" s="10">
        <v>0</v>
      </c>
      <c r="F76" s="10">
        <v>0</v>
      </c>
      <c r="G76" s="10">
        <v>0</v>
      </c>
      <c r="H76" s="10">
        <v>1.2895000000000001</v>
      </c>
      <c r="I76" s="10">
        <v>5.2275999999999998</v>
      </c>
      <c r="J76" s="10">
        <v>11.2873</v>
      </c>
      <c r="K76" s="10">
        <v>2.9828000000000001</v>
      </c>
      <c r="L76" s="11">
        <f t="shared" si="8"/>
        <v>30.646400000000003</v>
      </c>
    </row>
    <row r="77" spans="1:12" x14ac:dyDescent="0.3">
      <c r="A77" s="9" t="s">
        <v>24</v>
      </c>
      <c r="B77" s="5" t="s">
        <v>25</v>
      </c>
      <c r="C77" s="10">
        <v>0</v>
      </c>
      <c r="D77" s="10">
        <v>14.985200000000001</v>
      </c>
      <c r="E77" s="10">
        <v>0</v>
      </c>
      <c r="F77" s="10">
        <v>0</v>
      </c>
      <c r="G77" s="10">
        <v>0</v>
      </c>
      <c r="H77" s="10">
        <v>3.6234000000000002</v>
      </c>
      <c r="I77" s="10">
        <v>13.1225</v>
      </c>
      <c r="J77" s="10">
        <v>9.7144999999999992</v>
      </c>
      <c r="K77" s="10">
        <v>11.795299999999999</v>
      </c>
      <c r="L77" s="11">
        <f t="shared" si="8"/>
        <v>53.240900000000003</v>
      </c>
    </row>
    <row r="78" spans="1:12" x14ac:dyDescent="0.3">
      <c r="A78" s="9" t="s">
        <v>24</v>
      </c>
      <c r="B78" s="5" t="s">
        <v>26</v>
      </c>
      <c r="C78" s="10">
        <v>0</v>
      </c>
      <c r="D78" s="10">
        <v>29.721699999999998</v>
      </c>
      <c r="E78" s="10">
        <v>0</v>
      </c>
      <c r="F78" s="10">
        <v>0</v>
      </c>
      <c r="G78" s="10">
        <v>0</v>
      </c>
      <c r="H78" s="10">
        <v>2.7585999999999999</v>
      </c>
      <c r="I78" s="10">
        <v>10.856</v>
      </c>
      <c r="J78" s="10">
        <v>40.504399999999997</v>
      </c>
      <c r="K78" s="10">
        <v>9.6432000000000002</v>
      </c>
      <c r="L78" s="11">
        <f t="shared" si="8"/>
        <v>93.483900000000006</v>
      </c>
    </row>
    <row r="79" spans="1:12" x14ac:dyDescent="0.3">
      <c r="A79" s="9" t="s">
        <v>24</v>
      </c>
      <c r="B79" s="5" t="s">
        <v>27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1">
        <f t="shared" si="8"/>
        <v>0</v>
      </c>
    </row>
    <row r="80" spans="1:12" x14ac:dyDescent="0.3">
      <c r="A80" s="9" t="s">
        <v>24</v>
      </c>
      <c r="B80" s="5" t="s">
        <v>28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1">
        <f t="shared" si="8"/>
        <v>0</v>
      </c>
    </row>
    <row r="81" spans="1:12" x14ac:dyDescent="0.3">
      <c r="A81" s="27" t="s">
        <v>29</v>
      </c>
      <c r="B81" s="27"/>
      <c r="C81" s="11">
        <f t="shared" ref="C81:L81" si="9">SUM(C69:C80)</f>
        <v>0</v>
      </c>
      <c r="D81" s="11">
        <f t="shared" si="9"/>
        <v>186.49010000000001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1">
        <f t="shared" si="9"/>
        <v>18.342100000000002</v>
      </c>
      <c r="I81" s="11">
        <f t="shared" si="9"/>
        <v>83.748099999999994</v>
      </c>
      <c r="J81" s="11">
        <f t="shared" si="9"/>
        <v>184.65389999999999</v>
      </c>
      <c r="K81" s="11">
        <f t="shared" si="9"/>
        <v>102.21469999999999</v>
      </c>
      <c r="L81" s="11">
        <f t="shared" si="9"/>
        <v>575.44890000000009</v>
      </c>
    </row>
    <row r="83" spans="1:12" ht="15.6" x14ac:dyDescent="0.3">
      <c r="A83" s="2" t="s">
        <v>34</v>
      </c>
    </row>
    <row r="84" spans="1:12" x14ac:dyDescent="0.3">
      <c r="A84" s="3" t="s">
        <v>2</v>
      </c>
      <c r="B84" s="3" t="s">
        <v>3</v>
      </c>
      <c r="C84" s="3" t="s">
        <v>4</v>
      </c>
      <c r="D84" s="3" t="s">
        <v>5</v>
      </c>
      <c r="E84" s="3" t="s">
        <v>6</v>
      </c>
      <c r="F84" s="3" t="s">
        <v>7</v>
      </c>
      <c r="G84" s="3" t="s">
        <v>8</v>
      </c>
      <c r="H84" s="3" t="s">
        <v>9</v>
      </c>
      <c r="I84" s="3" t="s">
        <v>10</v>
      </c>
      <c r="J84" s="3" t="s">
        <v>11</v>
      </c>
      <c r="K84" s="3" t="s">
        <v>12</v>
      </c>
      <c r="L84" s="3" t="s">
        <v>13</v>
      </c>
    </row>
    <row r="85" spans="1:12" x14ac:dyDescent="0.3">
      <c r="A85" s="4" t="s">
        <v>14</v>
      </c>
      <c r="B85" s="5" t="s">
        <v>15</v>
      </c>
      <c r="C85" s="10">
        <v>0</v>
      </c>
      <c r="D85" s="10">
        <v>1979.3855000000001</v>
      </c>
      <c r="E85" s="10">
        <v>0</v>
      </c>
      <c r="F85" s="10">
        <v>95.351100000000002</v>
      </c>
      <c r="G85" s="10">
        <v>0</v>
      </c>
      <c r="H85" s="10">
        <v>101.51600000000001</v>
      </c>
      <c r="I85" s="10">
        <v>80.310299999999998</v>
      </c>
      <c r="J85" s="10">
        <v>217.8279</v>
      </c>
      <c r="K85" s="10">
        <v>179.68369999999999</v>
      </c>
      <c r="L85" s="11">
        <f t="shared" ref="L85:L96" si="10">SUM(C85:K85)</f>
        <v>2654.0745000000002</v>
      </c>
    </row>
    <row r="86" spans="1:12" x14ac:dyDescent="0.3">
      <c r="A86" s="4" t="s">
        <v>14</v>
      </c>
      <c r="B86" s="5" t="s">
        <v>16</v>
      </c>
      <c r="C86" s="10">
        <v>0</v>
      </c>
      <c r="D86" s="10">
        <v>885.81460000000004</v>
      </c>
      <c r="E86" s="10">
        <v>0</v>
      </c>
      <c r="F86" s="10">
        <v>40.870600000000003</v>
      </c>
      <c r="G86" s="10">
        <v>0</v>
      </c>
      <c r="H86" s="10">
        <v>49.422199999999997</v>
      </c>
      <c r="I86" s="10">
        <v>26.1892</v>
      </c>
      <c r="J86" s="10">
        <v>69.257900000000006</v>
      </c>
      <c r="K86" s="10">
        <v>79.290700000000001</v>
      </c>
      <c r="L86" s="11">
        <f t="shared" si="10"/>
        <v>1150.8452</v>
      </c>
    </row>
    <row r="87" spans="1:12" x14ac:dyDescent="0.3">
      <c r="A87" s="4" t="s">
        <v>14</v>
      </c>
      <c r="B87" s="5" t="s">
        <v>17</v>
      </c>
      <c r="C87" s="10">
        <v>0</v>
      </c>
      <c r="D87" s="10">
        <v>814.44970000000001</v>
      </c>
      <c r="E87" s="10">
        <v>0</v>
      </c>
      <c r="F87" s="10">
        <v>0</v>
      </c>
      <c r="G87" s="10">
        <v>0</v>
      </c>
      <c r="H87" s="10">
        <v>31.3066</v>
      </c>
      <c r="I87" s="10">
        <v>0</v>
      </c>
      <c r="J87" s="10">
        <v>90.003900000000002</v>
      </c>
      <c r="K87" s="10">
        <v>61.168900000000001</v>
      </c>
      <c r="L87" s="11">
        <f t="shared" si="10"/>
        <v>996.92910000000006</v>
      </c>
    </row>
    <row r="88" spans="1:12" x14ac:dyDescent="0.3">
      <c r="A88" s="4" t="s">
        <v>14</v>
      </c>
      <c r="B88" s="5" t="s">
        <v>18</v>
      </c>
      <c r="C88" s="10">
        <v>0</v>
      </c>
      <c r="D88" s="10">
        <v>370.83960000000002</v>
      </c>
      <c r="E88" s="10">
        <v>0</v>
      </c>
      <c r="F88" s="10">
        <v>16.8979</v>
      </c>
      <c r="G88" s="10">
        <v>0</v>
      </c>
      <c r="H88" s="10">
        <v>29.961300000000001</v>
      </c>
      <c r="I88" s="10">
        <v>6.2690000000000001</v>
      </c>
      <c r="J88" s="10">
        <v>21.790500000000002</v>
      </c>
      <c r="K88" s="10">
        <v>25.235600000000002</v>
      </c>
      <c r="L88" s="11">
        <f t="shared" si="10"/>
        <v>470.9939</v>
      </c>
    </row>
    <row r="89" spans="1:12" x14ac:dyDescent="0.3">
      <c r="A89" s="8" t="s">
        <v>19</v>
      </c>
      <c r="B89" s="5" t="s">
        <v>20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1">
        <f t="shared" si="10"/>
        <v>0</v>
      </c>
    </row>
    <row r="90" spans="1:12" x14ac:dyDescent="0.3">
      <c r="A90" s="8" t="s">
        <v>19</v>
      </c>
      <c r="B90" s="5" t="s">
        <v>21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1">
        <f t="shared" si="10"/>
        <v>0</v>
      </c>
    </row>
    <row r="91" spans="1:12" x14ac:dyDescent="0.3">
      <c r="A91" s="8" t="s">
        <v>19</v>
      </c>
      <c r="B91" s="5" t="s">
        <v>22</v>
      </c>
      <c r="C91" s="10">
        <v>0</v>
      </c>
      <c r="D91" s="10">
        <v>314.36399999999998</v>
      </c>
      <c r="E91" s="10">
        <v>0</v>
      </c>
      <c r="F91" s="10">
        <v>3.8184999999999998</v>
      </c>
      <c r="G91" s="10">
        <v>0</v>
      </c>
      <c r="H91" s="10">
        <v>21.459900000000001</v>
      </c>
      <c r="I91" s="10">
        <v>16.0976</v>
      </c>
      <c r="J91" s="10">
        <v>22.7941</v>
      </c>
      <c r="K91" s="10">
        <v>20.7546</v>
      </c>
      <c r="L91" s="11">
        <f t="shared" si="10"/>
        <v>399.28869999999995</v>
      </c>
    </row>
    <row r="92" spans="1:12" x14ac:dyDescent="0.3">
      <c r="A92" s="8" t="s">
        <v>19</v>
      </c>
      <c r="B92" s="5" t="s">
        <v>23</v>
      </c>
      <c r="C92" s="10">
        <v>0</v>
      </c>
      <c r="D92" s="10">
        <v>331.48869999999999</v>
      </c>
      <c r="E92" s="10">
        <v>0</v>
      </c>
      <c r="F92" s="10">
        <v>20.842700000000001</v>
      </c>
      <c r="G92" s="10">
        <v>0</v>
      </c>
      <c r="H92" s="10">
        <v>24.0441</v>
      </c>
      <c r="I92" s="10">
        <v>12.079800000000001</v>
      </c>
      <c r="J92" s="10">
        <v>92.733699999999999</v>
      </c>
      <c r="K92" s="10">
        <v>15.0693</v>
      </c>
      <c r="L92" s="11">
        <f t="shared" si="10"/>
        <v>496.25829999999996</v>
      </c>
    </row>
    <row r="93" spans="1:12" x14ac:dyDescent="0.3">
      <c r="A93" s="9" t="s">
        <v>24</v>
      </c>
      <c r="B93" s="5" t="s">
        <v>25</v>
      </c>
      <c r="C93" s="10">
        <v>0</v>
      </c>
      <c r="D93" s="10">
        <v>553.41499999999996</v>
      </c>
      <c r="E93" s="10">
        <v>0</v>
      </c>
      <c r="F93" s="10">
        <v>9.3587000000000007</v>
      </c>
      <c r="G93" s="10">
        <v>0</v>
      </c>
      <c r="H93" s="10">
        <v>58.928800000000003</v>
      </c>
      <c r="I93" s="10">
        <v>50.414900000000003</v>
      </c>
      <c r="J93" s="10">
        <v>29.028400000000001</v>
      </c>
      <c r="K93" s="10">
        <v>53.503900000000002</v>
      </c>
      <c r="L93" s="11">
        <f t="shared" si="10"/>
        <v>754.64970000000005</v>
      </c>
    </row>
    <row r="94" spans="1:12" x14ac:dyDescent="0.3">
      <c r="A94" s="9" t="s">
        <v>24</v>
      </c>
      <c r="B94" s="5" t="s">
        <v>26</v>
      </c>
      <c r="C94" s="10">
        <v>0</v>
      </c>
      <c r="D94" s="10">
        <v>808.31920000000002</v>
      </c>
      <c r="E94" s="10">
        <v>2.5943999999999998</v>
      </c>
      <c r="F94" s="10">
        <v>8.7885000000000009</v>
      </c>
      <c r="G94" s="10">
        <v>0</v>
      </c>
      <c r="H94" s="10">
        <v>43.118400000000001</v>
      </c>
      <c r="I94" s="10">
        <v>21.9757</v>
      </c>
      <c r="J94" s="10">
        <v>171.673</v>
      </c>
      <c r="K94" s="10">
        <v>32.988100000000003</v>
      </c>
      <c r="L94" s="11">
        <f t="shared" si="10"/>
        <v>1089.4573</v>
      </c>
    </row>
    <row r="95" spans="1:12" x14ac:dyDescent="0.3">
      <c r="A95" s="9" t="s">
        <v>24</v>
      </c>
      <c r="B95" s="5" t="s">
        <v>27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1">
        <f t="shared" si="10"/>
        <v>0</v>
      </c>
    </row>
    <row r="96" spans="1:12" x14ac:dyDescent="0.3">
      <c r="A96" s="9" t="s">
        <v>24</v>
      </c>
      <c r="B96" s="5" t="s">
        <v>28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1">
        <f t="shared" si="10"/>
        <v>0</v>
      </c>
    </row>
    <row r="97" spans="1:12" x14ac:dyDescent="0.3">
      <c r="A97" s="27" t="s">
        <v>29</v>
      </c>
      <c r="B97" s="27"/>
      <c r="C97" s="11">
        <f t="shared" ref="C97:L97" si="11">SUM(C85:C96)</f>
        <v>0</v>
      </c>
      <c r="D97" s="11">
        <f t="shared" si="11"/>
        <v>6058.0762999999997</v>
      </c>
      <c r="E97" s="11">
        <f t="shared" si="11"/>
        <v>2.5943999999999998</v>
      </c>
      <c r="F97" s="11">
        <f t="shared" si="11"/>
        <v>195.928</v>
      </c>
      <c r="G97" s="11">
        <f t="shared" si="11"/>
        <v>0</v>
      </c>
      <c r="H97" s="11">
        <f t="shared" si="11"/>
        <v>359.75730000000004</v>
      </c>
      <c r="I97" s="11">
        <f t="shared" si="11"/>
        <v>213.33650000000003</v>
      </c>
      <c r="J97" s="11">
        <f t="shared" si="11"/>
        <v>715.10940000000005</v>
      </c>
      <c r="K97" s="11">
        <f t="shared" si="11"/>
        <v>467.69479999999999</v>
      </c>
      <c r="L97" s="11">
        <f t="shared" si="11"/>
        <v>8012.4967000000015</v>
      </c>
    </row>
    <row r="99" spans="1:12" ht="15.6" x14ac:dyDescent="0.3">
      <c r="A99" s="2" t="s">
        <v>35</v>
      </c>
    </row>
    <row r="100" spans="1:12" x14ac:dyDescent="0.3">
      <c r="A100" s="3" t="s">
        <v>2</v>
      </c>
      <c r="B100" s="3" t="s">
        <v>3</v>
      </c>
      <c r="C100" s="3" t="s">
        <v>4</v>
      </c>
      <c r="D100" s="3" t="s">
        <v>5</v>
      </c>
      <c r="E100" s="3" t="s">
        <v>6</v>
      </c>
      <c r="F100" s="3" t="s">
        <v>7</v>
      </c>
      <c r="G100" s="3" t="s">
        <v>8</v>
      </c>
      <c r="H100" s="3" t="s">
        <v>9</v>
      </c>
      <c r="I100" s="3" t="s">
        <v>10</v>
      </c>
      <c r="J100" s="3" t="s">
        <v>11</v>
      </c>
      <c r="K100" s="3" t="s">
        <v>12</v>
      </c>
      <c r="L100" s="3" t="s">
        <v>13</v>
      </c>
    </row>
    <row r="101" spans="1:12" x14ac:dyDescent="0.3">
      <c r="A101" s="4" t="s">
        <v>14</v>
      </c>
      <c r="B101" s="5" t="s">
        <v>15</v>
      </c>
      <c r="C101" s="10">
        <v>0</v>
      </c>
      <c r="D101" s="10">
        <v>2656.2202000000002</v>
      </c>
      <c r="E101" s="10">
        <v>0</v>
      </c>
      <c r="F101" s="10">
        <v>95.540599999999998</v>
      </c>
      <c r="G101" s="10">
        <v>0</v>
      </c>
      <c r="H101" s="10">
        <v>152.73519999999999</v>
      </c>
      <c r="I101" s="10">
        <v>153.7313</v>
      </c>
      <c r="J101" s="10">
        <v>379.16980000000001</v>
      </c>
      <c r="K101" s="10">
        <v>221.5472</v>
      </c>
      <c r="L101" s="11">
        <f t="shared" ref="L101:L112" si="12">SUM(C101:K101)</f>
        <v>3658.9443000000001</v>
      </c>
    </row>
    <row r="102" spans="1:12" x14ac:dyDescent="0.3">
      <c r="A102" s="4" t="s">
        <v>14</v>
      </c>
      <c r="B102" s="5" t="s">
        <v>16</v>
      </c>
      <c r="C102" s="10">
        <v>0</v>
      </c>
      <c r="D102" s="10">
        <v>1299.759</v>
      </c>
      <c r="E102" s="10">
        <v>0</v>
      </c>
      <c r="F102" s="10">
        <v>41.001600000000003</v>
      </c>
      <c r="G102" s="10">
        <v>0</v>
      </c>
      <c r="H102" s="10">
        <v>77.668899999999994</v>
      </c>
      <c r="I102" s="10">
        <v>53.694200000000002</v>
      </c>
      <c r="J102" s="10">
        <v>139.1174</v>
      </c>
      <c r="K102" s="10">
        <v>102.8749</v>
      </c>
      <c r="L102" s="11">
        <f t="shared" si="12"/>
        <v>1714.116</v>
      </c>
    </row>
    <row r="103" spans="1:12" x14ac:dyDescent="0.3">
      <c r="A103" s="4" t="s">
        <v>14</v>
      </c>
      <c r="B103" s="5" t="s">
        <v>17</v>
      </c>
      <c r="C103" s="10">
        <v>0</v>
      </c>
      <c r="D103" s="10">
        <v>1170.9476999999999</v>
      </c>
      <c r="E103" s="10">
        <v>0</v>
      </c>
      <c r="F103" s="10">
        <v>0</v>
      </c>
      <c r="G103" s="10">
        <v>0</v>
      </c>
      <c r="H103" s="10">
        <v>54.167099999999998</v>
      </c>
      <c r="I103" s="10">
        <v>0</v>
      </c>
      <c r="J103" s="10">
        <v>158.97739999999999</v>
      </c>
      <c r="K103" s="10">
        <v>82.6327</v>
      </c>
      <c r="L103" s="11">
        <f t="shared" si="12"/>
        <v>1466.7248999999997</v>
      </c>
    </row>
    <row r="104" spans="1:12" x14ac:dyDescent="0.3">
      <c r="A104" s="4" t="s">
        <v>14</v>
      </c>
      <c r="B104" s="5" t="s">
        <v>18</v>
      </c>
      <c r="C104" s="10">
        <v>0</v>
      </c>
      <c r="D104" s="10">
        <v>572.58910000000003</v>
      </c>
      <c r="E104" s="10">
        <v>0</v>
      </c>
      <c r="F104" s="10">
        <v>17.2165</v>
      </c>
      <c r="G104" s="10">
        <v>0</v>
      </c>
      <c r="H104" s="10">
        <v>52.399700000000003</v>
      </c>
      <c r="I104" s="10">
        <v>10.892099999999999</v>
      </c>
      <c r="J104" s="10">
        <v>42.033200000000001</v>
      </c>
      <c r="K104" s="10">
        <v>42.981400000000001</v>
      </c>
      <c r="L104" s="11">
        <f t="shared" si="12"/>
        <v>738.11200000000008</v>
      </c>
    </row>
    <row r="105" spans="1:12" x14ac:dyDescent="0.3">
      <c r="A105" s="8" t="s">
        <v>19</v>
      </c>
      <c r="B105" s="5" t="s">
        <v>20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1">
        <f t="shared" si="12"/>
        <v>0</v>
      </c>
    </row>
    <row r="106" spans="1:12" x14ac:dyDescent="0.3">
      <c r="A106" s="8" t="s">
        <v>19</v>
      </c>
      <c r="B106" s="5" t="s">
        <v>21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1">
        <f t="shared" si="12"/>
        <v>0</v>
      </c>
    </row>
    <row r="107" spans="1:12" x14ac:dyDescent="0.3">
      <c r="A107" s="8" t="s">
        <v>19</v>
      </c>
      <c r="B107" s="5" t="s">
        <v>22</v>
      </c>
      <c r="C107" s="10">
        <v>0</v>
      </c>
      <c r="D107" s="10">
        <v>538.38620000000003</v>
      </c>
      <c r="E107" s="10">
        <v>0</v>
      </c>
      <c r="F107" s="10">
        <v>3.8711000000000002</v>
      </c>
      <c r="G107" s="10">
        <v>0</v>
      </c>
      <c r="H107" s="10">
        <v>34.686399999999999</v>
      </c>
      <c r="I107" s="10">
        <v>39.038499999999999</v>
      </c>
      <c r="J107" s="10">
        <v>58.891599999999997</v>
      </c>
      <c r="K107" s="10">
        <v>36.714199999999998</v>
      </c>
      <c r="L107" s="11">
        <f t="shared" si="12"/>
        <v>711.58800000000008</v>
      </c>
    </row>
    <row r="108" spans="1:12" x14ac:dyDescent="0.3">
      <c r="A108" s="8" t="s">
        <v>19</v>
      </c>
      <c r="B108" s="5" t="s">
        <v>23</v>
      </c>
      <c r="C108" s="10">
        <v>0</v>
      </c>
      <c r="D108" s="10">
        <v>507.11349999999999</v>
      </c>
      <c r="E108" s="10">
        <v>0</v>
      </c>
      <c r="F108" s="10">
        <v>21.111699999999999</v>
      </c>
      <c r="G108" s="10">
        <v>0</v>
      </c>
      <c r="H108" s="10">
        <v>43.357999999999997</v>
      </c>
      <c r="I108" s="10">
        <v>24.688099999999999</v>
      </c>
      <c r="J108" s="10">
        <v>128.52549999999999</v>
      </c>
      <c r="K108" s="10">
        <v>23.6004</v>
      </c>
      <c r="L108" s="11">
        <f t="shared" si="12"/>
        <v>748.39719999999988</v>
      </c>
    </row>
    <row r="109" spans="1:12" x14ac:dyDescent="0.3">
      <c r="A109" s="9" t="s">
        <v>24</v>
      </c>
      <c r="B109" s="5" t="s">
        <v>25</v>
      </c>
      <c r="C109" s="10">
        <v>0</v>
      </c>
      <c r="D109" s="10">
        <v>805.89160000000004</v>
      </c>
      <c r="E109" s="10">
        <v>0</v>
      </c>
      <c r="F109" s="10">
        <v>9.4648000000000003</v>
      </c>
      <c r="G109" s="10">
        <v>0</v>
      </c>
      <c r="H109" s="10">
        <v>111.04510000000001</v>
      </c>
      <c r="I109" s="10">
        <v>81.854100000000003</v>
      </c>
      <c r="J109" s="10">
        <v>59.155099999999997</v>
      </c>
      <c r="K109" s="10">
        <v>83.398300000000006</v>
      </c>
      <c r="L109" s="11">
        <f t="shared" si="12"/>
        <v>1150.8090000000002</v>
      </c>
    </row>
    <row r="110" spans="1:12" x14ac:dyDescent="0.3">
      <c r="A110" s="9" t="s">
        <v>24</v>
      </c>
      <c r="B110" s="5" t="s">
        <v>26</v>
      </c>
      <c r="C110" s="10">
        <v>0</v>
      </c>
      <c r="D110" s="10">
        <v>1217.2304999999999</v>
      </c>
      <c r="E110" s="10">
        <v>2.6204000000000001</v>
      </c>
      <c r="F110" s="10">
        <v>8.8145000000000007</v>
      </c>
      <c r="G110" s="10">
        <v>0</v>
      </c>
      <c r="H110" s="10">
        <v>77.5441</v>
      </c>
      <c r="I110" s="10">
        <v>47.425899999999999</v>
      </c>
      <c r="J110" s="10">
        <v>288.23469999999998</v>
      </c>
      <c r="K110" s="10">
        <v>47.371600000000001</v>
      </c>
      <c r="L110" s="11">
        <f t="shared" si="12"/>
        <v>1689.2416999999998</v>
      </c>
    </row>
    <row r="111" spans="1:12" x14ac:dyDescent="0.3">
      <c r="A111" s="9" t="s">
        <v>24</v>
      </c>
      <c r="B111" s="5" t="s">
        <v>27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1">
        <f t="shared" si="12"/>
        <v>0</v>
      </c>
    </row>
    <row r="112" spans="1:12" x14ac:dyDescent="0.3">
      <c r="A112" s="9" t="s">
        <v>24</v>
      </c>
      <c r="B112" s="5" t="s">
        <v>28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1">
        <f t="shared" si="12"/>
        <v>0</v>
      </c>
    </row>
    <row r="113" spans="1:12" x14ac:dyDescent="0.3">
      <c r="A113" s="27" t="s">
        <v>29</v>
      </c>
      <c r="B113" s="27"/>
      <c r="C113" s="11">
        <f t="shared" ref="C113:L113" si="13">SUM(C101:C112)</f>
        <v>0</v>
      </c>
      <c r="D113" s="11">
        <f t="shared" si="13"/>
        <v>8768.1378000000004</v>
      </c>
      <c r="E113" s="11">
        <f t="shared" si="13"/>
        <v>2.6204000000000001</v>
      </c>
      <c r="F113" s="11">
        <f t="shared" si="13"/>
        <v>197.02080000000004</v>
      </c>
      <c r="G113" s="11">
        <f t="shared" si="13"/>
        <v>0</v>
      </c>
      <c r="H113" s="11">
        <f t="shared" si="13"/>
        <v>603.60449999999992</v>
      </c>
      <c r="I113" s="11">
        <f t="shared" si="13"/>
        <v>411.32420000000002</v>
      </c>
      <c r="J113" s="11">
        <f t="shared" si="13"/>
        <v>1254.1046999999999</v>
      </c>
      <c r="K113" s="11">
        <f t="shared" si="13"/>
        <v>641.12069999999994</v>
      </c>
      <c r="L113" s="11">
        <f t="shared" si="13"/>
        <v>11877.9331</v>
      </c>
    </row>
  </sheetData>
  <mergeCells count="7">
    <mergeCell ref="A97:B97"/>
    <mergeCell ref="A113:B113"/>
    <mergeCell ref="A17:B17"/>
    <mergeCell ref="A33:B33"/>
    <mergeCell ref="A49:B49"/>
    <mergeCell ref="A65:B65"/>
    <mergeCell ref="A81:B8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A8C0-058E-48BE-8554-6D0866C61F03}">
  <dimension ref="A1:J16"/>
  <sheetViews>
    <sheetView tabSelected="1" topLeftCell="C10" zoomScale="175" zoomScaleNormal="175" workbookViewId="0">
      <selection activeCell="J12" sqref="J12"/>
    </sheetView>
  </sheetViews>
  <sheetFormatPr defaultRowHeight="14.4" x14ac:dyDescent="0.3"/>
  <cols>
    <col min="1" max="1" width="25.44140625" customWidth="1"/>
    <col min="6" max="6" width="17.109375" customWidth="1"/>
    <col min="7" max="7" width="15.44140625" customWidth="1"/>
    <col min="8" max="8" width="17.5546875" customWidth="1"/>
    <col min="9" max="9" width="16.21875" customWidth="1"/>
    <col min="10" max="10" width="18.44140625" customWidth="1"/>
  </cols>
  <sheetData>
    <row r="1" spans="1:10" ht="17.399999999999999" x14ac:dyDescent="0.3">
      <c r="A1" s="21" t="s">
        <v>38</v>
      </c>
      <c r="B1" s="22"/>
      <c r="C1" s="22"/>
      <c r="D1" s="22"/>
      <c r="E1" s="22"/>
      <c r="F1" s="22"/>
      <c r="G1" s="22"/>
      <c r="H1" s="22"/>
      <c r="I1" s="23"/>
      <c r="J1" s="12"/>
    </row>
    <row r="2" spans="1:10" ht="72" x14ac:dyDescent="0.3">
      <c r="A2" s="13" t="s">
        <v>39</v>
      </c>
      <c r="B2" s="13" t="s">
        <v>40</v>
      </c>
      <c r="C2" s="13" t="s">
        <v>41</v>
      </c>
      <c r="D2" s="13" t="s">
        <v>42</v>
      </c>
      <c r="E2" s="13" t="s">
        <v>43</v>
      </c>
      <c r="F2" s="13" t="s">
        <v>44</v>
      </c>
      <c r="G2" s="14" t="s">
        <v>45</v>
      </c>
      <c r="H2" s="14" t="s">
        <v>46</v>
      </c>
      <c r="I2" s="14" t="s">
        <v>47</v>
      </c>
      <c r="J2" s="15" t="s">
        <v>48</v>
      </c>
    </row>
    <row r="3" spans="1:10" x14ac:dyDescent="0.3">
      <c r="A3" t="s">
        <v>49</v>
      </c>
      <c r="B3">
        <v>2674.1096000000002</v>
      </c>
      <c r="C3">
        <v>10644.809199999998</v>
      </c>
      <c r="D3">
        <v>0</v>
      </c>
      <c r="E3">
        <v>2311.8368</v>
      </c>
      <c r="F3">
        <v>34059.979999999996</v>
      </c>
      <c r="G3">
        <v>49690.734800000006</v>
      </c>
      <c r="H3">
        <f>G3-C3</f>
        <v>39045.92560000001</v>
      </c>
      <c r="I3">
        <f>G3*(1/0.55)</f>
        <v>90346.790545454554</v>
      </c>
      <c r="J3">
        <f>H3*(1/0.55)</f>
        <v>70992.592000000019</v>
      </c>
    </row>
    <row r="4" spans="1:10" x14ac:dyDescent="0.3">
      <c r="A4" t="s">
        <v>50</v>
      </c>
      <c r="B4">
        <v>3172.6364000000003</v>
      </c>
      <c r="C4">
        <v>14842.089199999999</v>
      </c>
      <c r="D4">
        <v>0</v>
      </c>
      <c r="E4">
        <v>3280.039600000001</v>
      </c>
      <c r="F4">
        <v>42545.888800000001</v>
      </c>
      <c r="G4">
        <v>63840.653600000005</v>
      </c>
      <c r="H4">
        <f>G4-C4</f>
        <v>48998.564400000003</v>
      </c>
      <c r="I4">
        <v>116073.9172</v>
      </c>
      <c r="J4">
        <f t="shared" ref="J4:J9" si="0">H4*(1/0.55)</f>
        <v>89088.29890909091</v>
      </c>
    </row>
    <row r="5" spans="1:10" x14ac:dyDescent="0.3">
      <c r="A5" t="s">
        <v>51</v>
      </c>
      <c r="B5">
        <f>AVERAGE(B3:B4)</f>
        <v>2923.3730000000005</v>
      </c>
      <c r="C5">
        <f t="shared" ref="C5:I5" si="1">AVERAGE(C3:C4)</f>
        <v>12743.449199999999</v>
      </c>
      <c r="D5">
        <f t="shared" si="1"/>
        <v>0</v>
      </c>
      <c r="E5">
        <f t="shared" si="1"/>
        <v>2795.9382000000005</v>
      </c>
      <c r="F5">
        <f t="shared" si="1"/>
        <v>38302.934399999998</v>
      </c>
      <c r="G5">
        <f t="shared" si="1"/>
        <v>56765.694200000005</v>
      </c>
      <c r="H5">
        <f>AVERAGE(H3:H4)</f>
        <v>44022.24500000001</v>
      </c>
      <c r="I5">
        <f t="shared" si="1"/>
        <v>103210.35387272728</v>
      </c>
      <c r="J5">
        <f t="shared" si="0"/>
        <v>80040.445454545465</v>
      </c>
    </row>
    <row r="6" spans="1:10" x14ac:dyDescent="0.3">
      <c r="A6" t="s">
        <v>52</v>
      </c>
      <c r="B6">
        <f>B5*240</f>
        <v>701609.52000000014</v>
      </c>
      <c r="C6">
        <f t="shared" ref="C6:I6" si="2">C5*240</f>
        <v>3058427.8079999997</v>
      </c>
      <c r="D6">
        <f t="shared" si="2"/>
        <v>0</v>
      </c>
      <c r="E6">
        <f t="shared" si="2"/>
        <v>671025.16800000006</v>
      </c>
      <c r="F6">
        <f t="shared" si="2"/>
        <v>9192704.2559999991</v>
      </c>
      <c r="G6">
        <f t="shared" si="2"/>
        <v>13623766.608000001</v>
      </c>
      <c r="H6">
        <f>H5*240</f>
        <v>10565338.800000003</v>
      </c>
      <c r="I6">
        <f t="shared" si="2"/>
        <v>24770484.929454546</v>
      </c>
      <c r="J6">
        <f t="shared" si="0"/>
        <v>19209706.909090914</v>
      </c>
    </row>
    <row r="7" spans="1:10" ht="15.6" x14ac:dyDescent="0.3">
      <c r="A7" s="24" t="s">
        <v>53</v>
      </c>
      <c r="B7" s="25"/>
      <c r="C7" s="25"/>
      <c r="D7" s="25"/>
      <c r="E7" s="25"/>
      <c r="F7" s="25"/>
      <c r="G7" s="25"/>
      <c r="H7" s="25"/>
      <c r="I7" s="26"/>
    </row>
    <row r="8" spans="1:10" x14ac:dyDescent="0.3">
      <c r="A8" t="s">
        <v>54</v>
      </c>
      <c r="B8">
        <v>2184.6415999999999</v>
      </c>
      <c r="C8">
        <v>10975.310000000001</v>
      </c>
      <c r="D8">
        <v>0</v>
      </c>
      <c r="E8">
        <v>2301.7952</v>
      </c>
      <c r="F8">
        <v>32049.986800000002</v>
      </c>
      <c r="G8">
        <v>47511.733199999995</v>
      </c>
      <c r="H8">
        <f>G8-C8</f>
        <v>36536.42319999999</v>
      </c>
      <c r="I8">
        <v>86384.969199999992</v>
      </c>
      <c r="J8">
        <f t="shared" si="0"/>
        <v>66429.86036363634</v>
      </c>
    </row>
    <row r="9" spans="1:10" x14ac:dyDescent="0.3">
      <c r="A9" t="s">
        <v>55</v>
      </c>
      <c r="B9">
        <f>B8*125</f>
        <v>273080.2</v>
      </c>
      <c r="C9">
        <f t="shared" ref="C9:I9" si="3">C8*125</f>
        <v>1371913.7500000002</v>
      </c>
      <c r="D9">
        <f t="shared" si="3"/>
        <v>0</v>
      </c>
      <c r="E9">
        <f t="shared" si="3"/>
        <v>287724.40000000002</v>
      </c>
      <c r="F9">
        <f t="shared" si="3"/>
        <v>4006248.35</v>
      </c>
      <c r="G9">
        <f t="shared" si="3"/>
        <v>5938966.6499999994</v>
      </c>
      <c r="H9">
        <f t="shared" si="3"/>
        <v>4567052.8999999985</v>
      </c>
      <c r="I9">
        <f t="shared" si="3"/>
        <v>10798121.149999999</v>
      </c>
      <c r="J9">
        <f t="shared" si="0"/>
        <v>8303732.5454545422</v>
      </c>
    </row>
    <row r="11" spans="1:10" x14ac:dyDescent="0.3">
      <c r="A11" s="16" t="s">
        <v>56</v>
      </c>
      <c r="B11" s="16">
        <f>(B$6+B$9)</f>
        <v>974689.7200000002</v>
      </c>
      <c r="C11" s="16">
        <f t="shared" ref="C11:I11" si="4">(C$6+C$9)</f>
        <v>4430341.5580000002</v>
      </c>
      <c r="D11" s="16">
        <f t="shared" si="4"/>
        <v>0</v>
      </c>
      <c r="E11" s="16">
        <f t="shared" si="4"/>
        <v>958749.56800000009</v>
      </c>
      <c r="F11" s="16">
        <f t="shared" si="4"/>
        <v>13198952.605999999</v>
      </c>
      <c r="G11" s="16">
        <f t="shared" si="4"/>
        <v>19562733.258000001</v>
      </c>
      <c r="H11" s="16">
        <f>H6+H9</f>
        <v>15132391.700000001</v>
      </c>
      <c r="I11" s="17">
        <f t="shared" si="4"/>
        <v>35568606.079454541</v>
      </c>
      <c r="J11" s="17">
        <f>(J$6+J$9)</f>
        <v>27513439.454545457</v>
      </c>
    </row>
    <row r="12" spans="1:10" ht="17.399999999999999" x14ac:dyDescent="0.45">
      <c r="J12" s="18" t="s">
        <v>57</v>
      </c>
    </row>
    <row r="16" spans="1:10" ht="17.399999999999999" x14ac:dyDescent="0.45">
      <c r="A16" s="19" t="s">
        <v>58</v>
      </c>
      <c r="B16" s="20">
        <f>'[1]FINAL COST'!$J$11/J11</f>
        <v>3.9028485029236988</v>
      </c>
      <c r="C16" s="19" t="s">
        <v>59</v>
      </c>
    </row>
  </sheetData>
  <mergeCells count="2">
    <mergeCell ref="A1:I1"/>
    <mergeCell ref="A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14-12-25</vt:lpstr>
      <vt:lpstr>17-12-25</vt:lpstr>
      <vt:lpstr>19-12-25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MSI</cp:lastModifiedBy>
  <cp:revision>0</cp:revision>
  <dcterms:created xsi:type="dcterms:W3CDTF">2026-06-27T04:54:53Z</dcterms:created>
  <dcterms:modified xsi:type="dcterms:W3CDTF">2026-06-27T12:41:33Z</dcterms:modified>
  <dc:language>en-US</dc:language>
</cp:coreProperties>
</file>
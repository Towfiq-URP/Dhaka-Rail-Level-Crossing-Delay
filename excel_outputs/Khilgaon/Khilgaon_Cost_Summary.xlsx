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Primary Analysis\Khilgaon\"/>
    </mc:Choice>
  </mc:AlternateContent>
  <xr:revisionPtr revIDLastSave="0" documentId="13_ncr:1_{DA543C9B-107C-4DED-8E20-C85472634932}" xr6:coauthVersionLast="47" xr6:coauthVersionMax="47" xr10:uidLastSave="{00000000-0000-0000-0000-000000000000}"/>
  <bookViews>
    <workbookView xWindow="28680" yWindow="-75" windowWidth="29040" windowHeight="15720" tabRatio="500" activeTab="3" xr2:uid="{00000000-000D-0000-FFFF-FFFF00000000}"/>
  </bookViews>
  <sheets>
    <sheet name="14-12-25" sheetId="1" r:id="rId1"/>
    <sheet name="17-12-25" sheetId="2" r:id="rId2"/>
    <sheet name="19-12-25" sheetId="3" r:id="rId3"/>
    <sheet name="Final Cost" sheetId="4" r:id="rId4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3" i="2" l="1"/>
  <c r="I11" i="4"/>
  <c r="I9" i="4"/>
  <c r="G9" i="4"/>
  <c r="F9" i="4"/>
  <c r="E9" i="4"/>
  <c r="D9" i="4"/>
  <c r="C9" i="4"/>
  <c r="B9" i="4"/>
  <c r="H8" i="4"/>
  <c r="J8" i="4" s="1"/>
  <c r="J9" i="4" s="1"/>
  <c r="I6" i="4"/>
  <c r="I5" i="4"/>
  <c r="G5" i="4"/>
  <c r="G6" i="4" s="1"/>
  <c r="G11" i="4" s="1"/>
  <c r="F5" i="4"/>
  <c r="F6" i="4" s="1"/>
  <c r="F11" i="4" s="1"/>
  <c r="E5" i="4"/>
  <c r="E6" i="4" s="1"/>
  <c r="E11" i="4" s="1"/>
  <c r="D5" i="4"/>
  <c r="D6" i="4" s="1"/>
  <c r="D11" i="4" s="1"/>
  <c r="C5" i="4"/>
  <c r="C6" i="4" s="1"/>
  <c r="C11" i="4" s="1"/>
  <c r="B5" i="4"/>
  <c r="B6" i="4" s="1"/>
  <c r="B11" i="4" s="1"/>
  <c r="J4" i="4"/>
  <c r="H4" i="4"/>
  <c r="H3" i="4"/>
  <c r="J3" i="4" s="1"/>
  <c r="K113" i="3"/>
  <c r="J113" i="3"/>
  <c r="I113" i="3"/>
  <c r="H113" i="3"/>
  <c r="G113" i="3"/>
  <c r="F113" i="3"/>
  <c r="E113" i="3"/>
  <c r="D113" i="3"/>
  <c r="C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13" i="3" s="1"/>
  <c r="K97" i="3"/>
  <c r="J97" i="3"/>
  <c r="I97" i="3"/>
  <c r="H97" i="3"/>
  <c r="G97" i="3"/>
  <c r="F97" i="3"/>
  <c r="E97" i="3"/>
  <c r="D97" i="3"/>
  <c r="C97" i="3"/>
  <c r="L96" i="3"/>
  <c r="L95" i="3"/>
  <c r="L94" i="3"/>
  <c r="L93" i="3"/>
  <c r="L92" i="3"/>
  <c r="L91" i="3"/>
  <c r="L90" i="3"/>
  <c r="L89" i="3"/>
  <c r="L88" i="3"/>
  <c r="L87" i="3"/>
  <c r="L86" i="3"/>
  <c r="L85" i="3"/>
  <c r="L97" i="3" s="1"/>
  <c r="K81" i="3"/>
  <c r="J81" i="3"/>
  <c r="I81" i="3"/>
  <c r="H81" i="3"/>
  <c r="G81" i="3"/>
  <c r="F81" i="3"/>
  <c r="E81" i="3"/>
  <c r="D81" i="3"/>
  <c r="C81" i="3"/>
  <c r="L80" i="3"/>
  <c r="L79" i="3"/>
  <c r="L78" i="3"/>
  <c r="L77" i="3"/>
  <c r="L76" i="3"/>
  <c r="L75" i="3"/>
  <c r="L74" i="3"/>
  <c r="L73" i="3"/>
  <c r="L72" i="3"/>
  <c r="L71" i="3"/>
  <c r="L70" i="3"/>
  <c r="L69" i="3"/>
  <c r="L81" i="3" s="1"/>
  <c r="K65" i="3"/>
  <c r="J65" i="3"/>
  <c r="I65" i="3"/>
  <c r="H65" i="3"/>
  <c r="G65" i="3"/>
  <c r="F65" i="3"/>
  <c r="E65" i="3"/>
  <c r="D65" i="3"/>
  <c r="C65" i="3"/>
  <c r="L64" i="3"/>
  <c r="L63" i="3"/>
  <c r="L62" i="3"/>
  <c r="L61" i="3"/>
  <c r="L60" i="3"/>
  <c r="L59" i="3"/>
  <c r="L58" i="3"/>
  <c r="L65" i="3" s="1"/>
  <c r="L57" i="3"/>
  <c r="L56" i="3"/>
  <c r="L55" i="3"/>
  <c r="L54" i="3"/>
  <c r="L53" i="3"/>
  <c r="K49" i="3"/>
  <c r="J49" i="3"/>
  <c r="I49" i="3"/>
  <c r="H49" i="3"/>
  <c r="G49" i="3"/>
  <c r="F49" i="3"/>
  <c r="E49" i="3"/>
  <c r="D49" i="3"/>
  <c r="C49" i="3"/>
  <c r="L48" i="3"/>
  <c r="L47" i="3"/>
  <c r="L46" i="3"/>
  <c r="L45" i="3"/>
  <c r="L44" i="3"/>
  <c r="L43" i="3"/>
  <c r="L42" i="3"/>
  <c r="L41" i="3"/>
  <c r="L40" i="3"/>
  <c r="L39" i="3"/>
  <c r="L38" i="3"/>
  <c r="L37" i="3"/>
  <c r="L49" i="3" s="1"/>
  <c r="K33" i="3"/>
  <c r="J33" i="3"/>
  <c r="I33" i="3"/>
  <c r="H33" i="3"/>
  <c r="G33" i="3"/>
  <c r="F33" i="3"/>
  <c r="E33" i="3"/>
  <c r="D33" i="3"/>
  <c r="C33" i="3"/>
  <c r="L32" i="3"/>
  <c r="L31" i="3"/>
  <c r="L30" i="3"/>
  <c r="L29" i="3"/>
  <c r="L28" i="3"/>
  <c r="L27" i="3"/>
  <c r="L26" i="3"/>
  <c r="L25" i="3"/>
  <c r="L24" i="3"/>
  <c r="L23" i="3"/>
  <c r="L22" i="3"/>
  <c r="L33" i="3" s="1"/>
  <c r="L21" i="3"/>
  <c r="K17" i="3"/>
  <c r="J17" i="3"/>
  <c r="I17" i="3"/>
  <c r="H17" i="3"/>
  <c r="G17" i="3"/>
  <c r="F17" i="3"/>
  <c r="E17" i="3"/>
  <c r="D17" i="3"/>
  <c r="C17" i="3"/>
  <c r="L16" i="3"/>
  <c r="L15" i="3"/>
  <c r="L14" i="3"/>
  <c r="L13" i="3"/>
  <c r="L12" i="3"/>
  <c r="L11" i="3"/>
  <c r="L10" i="3"/>
  <c r="L9" i="3"/>
  <c r="L8" i="3"/>
  <c r="L7" i="3"/>
  <c r="L6" i="3"/>
  <c r="L5" i="3"/>
  <c r="L17" i="3" s="1"/>
  <c r="K113" i="2"/>
  <c r="J113" i="2"/>
  <c r="I113" i="2"/>
  <c r="H113" i="2"/>
  <c r="G113" i="2"/>
  <c r="F113" i="2"/>
  <c r="E113" i="2"/>
  <c r="D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13" i="2" s="1"/>
  <c r="K97" i="2"/>
  <c r="J97" i="2"/>
  <c r="I97" i="2"/>
  <c r="H97" i="2"/>
  <c r="G97" i="2"/>
  <c r="F97" i="2"/>
  <c r="E97" i="2"/>
  <c r="D97" i="2"/>
  <c r="C97" i="2"/>
  <c r="L96" i="2"/>
  <c r="L95" i="2"/>
  <c r="L94" i="2"/>
  <c r="L93" i="2"/>
  <c r="L92" i="2"/>
  <c r="L91" i="2"/>
  <c r="L90" i="2"/>
  <c r="L97" i="2" s="1"/>
  <c r="L89" i="2"/>
  <c r="L88" i="2"/>
  <c r="L87" i="2"/>
  <c r="L86" i="2"/>
  <c r="L85" i="2"/>
  <c r="K81" i="2"/>
  <c r="J81" i="2"/>
  <c r="I81" i="2"/>
  <c r="H81" i="2"/>
  <c r="G81" i="2"/>
  <c r="F81" i="2"/>
  <c r="E81" i="2"/>
  <c r="D81" i="2"/>
  <c r="C81" i="2"/>
  <c r="L80" i="2"/>
  <c r="L79" i="2"/>
  <c r="L78" i="2"/>
  <c r="L77" i="2"/>
  <c r="L76" i="2"/>
  <c r="L75" i="2"/>
  <c r="L74" i="2"/>
  <c r="L73" i="2"/>
  <c r="L72" i="2"/>
  <c r="L71" i="2"/>
  <c r="L70" i="2"/>
  <c r="L81" i="2" s="1"/>
  <c r="L69" i="2"/>
  <c r="K65" i="2"/>
  <c r="J65" i="2"/>
  <c r="I65" i="2"/>
  <c r="H65" i="2"/>
  <c r="G65" i="2"/>
  <c r="F65" i="2"/>
  <c r="E65" i="2"/>
  <c r="D65" i="2"/>
  <c r="C65" i="2"/>
  <c r="L64" i="2"/>
  <c r="L63" i="2"/>
  <c r="L62" i="2"/>
  <c r="L61" i="2"/>
  <c r="L60" i="2"/>
  <c r="L59" i="2"/>
  <c r="L58" i="2"/>
  <c r="L57" i="2"/>
  <c r="L56" i="2"/>
  <c r="L55" i="2"/>
  <c r="L54" i="2"/>
  <c r="L53" i="2"/>
  <c r="L65" i="2" s="1"/>
  <c r="K49" i="2"/>
  <c r="J49" i="2"/>
  <c r="I49" i="2"/>
  <c r="H49" i="2"/>
  <c r="G49" i="2"/>
  <c r="F49" i="2"/>
  <c r="E49" i="2"/>
  <c r="D49" i="2"/>
  <c r="C49" i="2"/>
  <c r="L48" i="2"/>
  <c r="L47" i="2"/>
  <c r="L46" i="2"/>
  <c r="L45" i="2"/>
  <c r="L44" i="2"/>
  <c r="L43" i="2"/>
  <c r="L42" i="2"/>
  <c r="L49" i="2" s="1"/>
  <c r="L41" i="2"/>
  <c r="L40" i="2"/>
  <c r="L39" i="2"/>
  <c r="L38" i="2"/>
  <c r="L37" i="2"/>
  <c r="K33" i="2"/>
  <c r="J33" i="2"/>
  <c r="I33" i="2"/>
  <c r="H33" i="2"/>
  <c r="G33" i="2"/>
  <c r="F33" i="2"/>
  <c r="E33" i="2"/>
  <c r="D33" i="2"/>
  <c r="C33" i="2"/>
  <c r="L32" i="2"/>
  <c r="L31" i="2"/>
  <c r="L30" i="2"/>
  <c r="L29" i="2"/>
  <c r="L28" i="2"/>
  <c r="L27" i="2"/>
  <c r="L26" i="2"/>
  <c r="L25" i="2"/>
  <c r="L24" i="2"/>
  <c r="L23" i="2"/>
  <c r="L22" i="2"/>
  <c r="L21" i="2"/>
  <c r="L33" i="2" s="1"/>
  <c r="K17" i="2"/>
  <c r="J17" i="2"/>
  <c r="I17" i="2"/>
  <c r="H17" i="2"/>
  <c r="G17" i="2"/>
  <c r="F17" i="2"/>
  <c r="E17" i="2"/>
  <c r="D17" i="2"/>
  <c r="C17" i="2"/>
  <c r="L16" i="2"/>
  <c r="L15" i="2"/>
  <c r="L14" i="2"/>
  <c r="L13" i="2"/>
  <c r="L12" i="2"/>
  <c r="L11" i="2"/>
  <c r="L10" i="2"/>
  <c r="L9" i="2"/>
  <c r="L8" i="2"/>
  <c r="L7" i="2"/>
  <c r="L6" i="2"/>
  <c r="L17" i="2" s="1"/>
  <c r="L5" i="2"/>
  <c r="K113" i="1"/>
  <c r="J113" i="1"/>
  <c r="I113" i="1"/>
  <c r="H113" i="1"/>
  <c r="G113" i="1"/>
  <c r="F113" i="1"/>
  <c r="E113" i="1"/>
  <c r="D113" i="1"/>
  <c r="C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13" i="1" s="1"/>
  <c r="K97" i="1"/>
  <c r="J97" i="1"/>
  <c r="I97" i="1"/>
  <c r="H97" i="1"/>
  <c r="G97" i="1"/>
  <c r="F97" i="1"/>
  <c r="E97" i="1"/>
  <c r="D97" i="1"/>
  <c r="C97" i="1"/>
  <c r="L96" i="1"/>
  <c r="L95" i="1"/>
  <c r="L94" i="1"/>
  <c r="L93" i="1"/>
  <c r="L92" i="1"/>
  <c r="L91" i="1"/>
  <c r="L90" i="1"/>
  <c r="L89" i="1"/>
  <c r="L88" i="1"/>
  <c r="L87" i="1"/>
  <c r="L97" i="1" s="1"/>
  <c r="L86" i="1"/>
  <c r="L85" i="1"/>
  <c r="K81" i="1"/>
  <c r="J81" i="1"/>
  <c r="I81" i="1"/>
  <c r="H81" i="1"/>
  <c r="G81" i="1"/>
  <c r="F81" i="1"/>
  <c r="E81" i="1"/>
  <c r="D81" i="1"/>
  <c r="C81" i="1"/>
  <c r="L80" i="1"/>
  <c r="L79" i="1"/>
  <c r="L78" i="1"/>
  <c r="L77" i="1"/>
  <c r="L76" i="1"/>
  <c r="L75" i="1"/>
  <c r="L74" i="1"/>
  <c r="L81" i="1" s="1"/>
  <c r="L73" i="1"/>
  <c r="L72" i="1"/>
  <c r="L71" i="1"/>
  <c r="L70" i="1"/>
  <c r="L69" i="1"/>
  <c r="K65" i="1"/>
  <c r="J65" i="1"/>
  <c r="I65" i="1"/>
  <c r="H65" i="1"/>
  <c r="G65" i="1"/>
  <c r="F65" i="1"/>
  <c r="E65" i="1"/>
  <c r="D65" i="1"/>
  <c r="C65" i="1"/>
  <c r="L64" i="1"/>
  <c r="L63" i="1"/>
  <c r="L62" i="1"/>
  <c r="L61" i="1"/>
  <c r="L60" i="1"/>
  <c r="L59" i="1"/>
  <c r="L58" i="1"/>
  <c r="L57" i="1"/>
  <c r="L56" i="1"/>
  <c r="L55" i="1"/>
  <c r="L54" i="1"/>
  <c r="L65" i="1" s="1"/>
  <c r="L53" i="1"/>
  <c r="K49" i="1"/>
  <c r="J49" i="1"/>
  <c r="I49" i="1"/>
  <c r="H49" i="1"/>
  <c r="G49" i="1"/>
  <c r="F49" i="1"/>
  <c r="E49" i="1"/>
  <c r="D49" i="1"/>
  <c r="C49" i="1"/>
  <c r="L48" i="1"/>
  <c r="L47" i="1"/>
  <c r="L46" i="1"/>
  <c r="L45" i="1"/>
  <c r="L44" i="1"/>
  <c r="L43" i="1"/>
  <c r="L42" i="1"/>
  <c r="L41" i="1"/>
  <c r="L40" i="1"/>
  <c r="L39" i="1"/>
  <c r="L38" i="1"/>
  <c r="L37" i="1"/>
  <c r="L49" i="1" s="1"/>
  <c r="K33" i="1"/>
  <c r="J33" i="1"/>
  <c r="I33" i="1"/>
  <c r="H33" i="1"/>
  <c r="G33" i="1"/>
  <c r="F33" i="1"/>
  <c r="E33" i="1"/>
  <c r="D33" i="1"/>
  <c r="C33" i="1"/>
  <c r="L32" i="1"/>
  <c r="L31" i="1"/>
  <c r="L30" i="1"/>
  <c r="L29" i="1"/>
  <c r="L28" i="1"/>
  <c r="L27" i="1"/>
  <c r="L26" i="1"/>
  <c r="L33" i="1" s="1"/>
  <c r="L25" i="1"/>
  <c r="L24" i="1"/>
  <c r="L23" i="1"/>
  <c r="L22" i="1"/>
  <c r="L21" i="1"/>
  <c r="K17" i="1"/>
  <c r="J17" i="1"/>
  <c r="I17" i="1"/>
  <c r="H17" i="1"/>
  <c r="G17" i="1"/>
  <c r="F17" i="1"/>
  <c r="E17" i="1"/>
  <c r="D17" i="1"/>
  <c r="C17" i="1"/>
  <c r="L16" i="1"/>
  <c r="L15" i="1"/>
  <c r="L14" i="1"/>
  <c r="L13" i="1"/>
  <c r="L12" i="1"/>
  <c r="L11" i="1"/>
  <c r="L10" i="1"/>
  <c r="L9" i="1"/>
  <c r="L8" i="1"/>
  <c r="L7" i="1"/>
  <c r="L6" i="1"/>
  <c r="L5" i="1"/>
  <c r="L17" i="1" s="1"/>
  <c r="H5" i="4" l="1"/>
  <c r="H9" i="4"/>
  <c r="H6" i="4" l="1"/>
  <c r="H11" i="4" s="1"/>
  <c r="J5" i="4"/>
  <c r="J6" i="4" s="1"/>
  <c r="J11" i="4" s="1"/>
</calcChain>
</file>

<file path=xl/sharedStrings.xml><?xml version="1.0" encoding="utf-8"?>
<sst xmlns="http://schemas.openxmlformats.org/spreadsheetml/2006/main" count="821" uniqueCount="58">
  <si>
    <t>Cost Summary — 14-12-25</t>
  </si>
  <si>
    <t>Volume  (count)</t>
  </si>
  <si>
    <t>Session</t>
  </si>
  <si>
    <t>Period</t>
  </si>
  <si>
    <t>rickshaw</t>
  </si>
  <si>
    <t>car</t>
  </si>
  <si>
    <t>van</t>
  </si>
  <si>
    <t>bicycle</t>
  </si>
  <si>
    <t>leguna</t>
  </si>
  <si>
    <t>bike</t>
  </si>
  <si>
    <t>truck</t>
  </si>
  <si>
    <t>bus</t>
  </si>
  <si>
    <t>cng</t>
  </si>
  <si>
    <t>Total</t>
  </si>
  <si>
    <t>Morning</t>
  </si>
  <si>
    <t>0800-0815</t>
  </si>
  <si>
    <t>0830-0845</t>
  </si>
  <si>
    <t>0900-0915</t>
  </si>
  <si>
    <t>0930-0945</t>
  </si>
  <si>
    <t>Afternoon</t>
  </si>
  <si>
    <t>1200-1215</t>
  </si>
  <si>
    <t>1230-1245</t>
  </si>
  <si>
    <t>1300-1315</t>
  </si>
  <si>
    <t>1330-1345</t>
  </si>
  <si>
    <t>Evening</t>
  </si>
  <si>
    <t>1700-1715</t>
  </si>
  <si>
    <t>1730-1745</t>
  </si>
  <si>
    <t>1800-1815</t>
  </si>
  <si>
    <t>1830-1845</t>
  </si>
  <si>
    <t>GRAND TOTAL</t>
  </si>
  <si>
    <t>Travel-Time Cost  (BDT)</t>
  </si>
  <si>
    <t>Fuel-Loss Cost  (BDT)</t>
  </si>
  <si>
    <t>Electricity Cost  (BDT)</t>
  </si>
  <si>
    <t>Pollution Cost  (BDT)</t>
  </si>
  <si>
    <t>VOC  (BDT)</t>
  </si>
  <si>
    <t>Total Cost  (BDT)</t>
  </si>
  <si>
    <t>Cost Summary — 17-12-25</t>
  </si>
  <si>
    <t>Cost Summary — 19-12-25</t>
  </si>
  <si>
    <t>For weekdays</t>
  </si>
  <si>
    <t>Time
Period  (considering 12 hrs daylight in a day)</t>
  </si>
  <si>
    <t>Travel
Time Cost
(BDT)</t>
  </si>
  <si>
    <t>Fuel
Cost
(BDT)</t>
  </si>
  <si>
    <t>Electricity
Cost (BDT)</t>
  </si>
  <si>
    <t>Pollution
Cost (BDT)</t>
  </si>
  <si>
    <t>Total VOC
(BDT)</t>
  </si>
  <si>
    <t>Total Cost
Per Camera
(BDT)</t>
  </si>
  <si>
    <t>Total Cost
Per Camera Excluding Fuel+Electricity
(BDT)</t>
  </si>
  <si>
    <t>Total Cost
Intersection
@D=0.55 (BDT)</t>
  </si>
  <si>
    <t>Total Cost
Intersection
@D=0.55 (BDT) Excluding Fuel+Electricity</t>
  </si>
  <si>
    <t>Sunday</t>
  </si>
  <si>
    <t>Wednesday</t>
  </si>
  <si>
    <t>Average</t>
  </si>
  <si>
    <t>for 240 working days</t>
  </si>
  <si>
    <t>For Weekends</t>
  </si>
  <si>
    <t>Friday</t>
  </si>
  <si>
    <t>for 125 days</t>
  </si>
  <si>
    <t>Grand Total</t>
  </si>
  <si>
    <t>10 CRORE 73 LAKH 80 THOUSAND 785 TAKA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</si>
</sst>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14" x14ac:knownFonts="1">
    <font>
      <sz val="11"/>
      <color theme="1"/>
      <name val="Calibri"/>
      <family val="2"/>
      <charset val="1"/>
    </font>
    <font>
      <b/>
      <sz val="14"/>
      <color rgb="FFC00000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Times New Roman"/>
      <family val="1"/>
    </font>
    <font>
      <b/>
      <sz val="9"/>
      <name val="Arial"/>
      <charset val="1"/>
    </font>
    <font>
      <b/>
      <sz val="9"/>
      <name val="Arial"/>
      <family val="2"/>
    </font>
    <font>
      <b/>
      <sz val="12"/>
      <color rgb="FF3F3F76"/>
      <name val="Times New Roman"/>
      <family val="1"/>
    </font>
    <font>
      <b/>
      <sz val="11"/>
      <color rgb="FF006100"/>
      <name val="Times New Roman"/>
      <family val="1"/>
    </font>
    <font>
      <b/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BDD7EE"/>
        <b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7" fillId="8" borderId="2" applyNumberFormat="0" applyAlignment="0" applyProtection="0"/>
    <xf numFmtId="0" fontId="6" fillId="7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7" fillId="8" borderId="2" xfId="1"/>
    <xf numFmtId="0" fontId="9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7" borderId="2" xfId="2" applyFont="1" applyBorder="1"/>
    <xf numFmtId="2" fontId="12" fillId="7" borderId="2" xfId="2" applyNumberFormat="1" applyFont="1" applyBorder="1"/>
    <xf numFmtId="0" fontId="13" fillId="0" borderId="0" xfId="0" applyFont="1"/>
    <xf numFmtId="0" fontId="8" fillId="8" borderId="3" xfId="1" applyFont="1" applyBorder="1" applyAlignment="1">
      <alignment horizontal="center"/>
    </xf>
    <xf numFmtId="0" fontId="8" fillId="8" borderId="4" xfId="1" applyFont="1" applyBorder="1" applyAlignment="1">
      <alignment horizontal="center"/>
    </xf>
    <xf numFmtId="0" fontId="8" fillId="8" borderId="5" xfId="1" applyFont="1" applyBorder="1" applyAlignment="1">
      <alignment horizontal="center"/>
    </xf>
    <xf numFmtId="0" fontId="11" fillId="8" borderId="3" xfId="1" applyFont="1" applyBorder="1" applyAlignment="1">
      <alignment horizontal="center"/>
    </xf>
    <xf numFmtId="0" fontId="7" fillId="8" borderId="4" xfId="1" applyBorder="1" applyAlignment="1">
      <alignment horizontal="center"/>
    </xf>
    <xf numFmtId="0" fontId="7" fillId="8" borderId="5" xfId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3">
    <cellStyle name="Good" xfId="2" builtinId="26"/>
    <cellStyle name="Input" xfId="1" builtinId="20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zoomScaleNormal="100" workbookViewId="0">
      <pane ySplit="2" topLeftCell="A3" activePane="bottomLeft" state="frozen"/>
      <selection pane="bottomLeft" activeCell="C113" sqref="C113:L113"/>
    </sheetView>
  </sheetViews>
  <sheetFormatPr defaultColWidth="8.6640625" defaultRowHeight="14.4" x14ac:dyDescent="0.3"/>
  <cols>
    <col min="1" max="2" width="12" customWidth="1"/>
    <col min="3" max="11" width="10" customWidth="1"/>
    <col min="12" max="12" width="12" customWidth="1"/>
  </cols>
  <sheetData>
    <row r="1" spans="1:12" ht="17.399999999999999" x14ac:dyDescent="0.3">
      <c r="A1" s="1" t="s">
        <v>0</v>
      </c>
    </row>
    <row r="3" spans="1:12" ht="15.6" x14ac:dyDescent="0.3">
      <c r="A3" s="2" t="s">
        <v>1</v>
      </c>
    </row>
    <row r="4" spans="1:1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15</v>
      </c>
      <c r="C5" s="6">
        <v>741</v>
      </c>
      <c r="D5" s="6">
        <v>24</v>
      </c>
      <c r="E5" s="6">
        <v>17</v>
      </c>
      <c r="F5" s="6">
        <v>14</v>
      </c>
      <c r="G5" s="6">
        <v>9</v>
      </c>
      <c r="H5" s="6">
        <v>8</v>
      </c>
      <c r="I5" s="6">
        <v>8</v>
      </c>
      <c r="J5" s="6">
        <v>5</v>
      </c>
      <c r="K5" s="6">
        <v>4</v>
      </c>
      <c r="L5" s="7">
        <f t="shared" ref="L5:L16" si="0">SUM(C5:K5)</f>
        <v>830</v>
      </c>
    </row>
    <row r="6" spans="1:12" x14ac:dyDescent="0.3">
      <c r="A6" s="4" t="s">
        <v>14</v>
      </c>
      <c r="B6" s="5" t="s">
        <v>16</v>
      </c>
      <c r="C6" s="6">
        <v>530</v>
      </c>
      <c r="D6" s="6">
        <v>39</v>
      </c>
      <c r="E6" s="6">
        <v>33</v>
      </c>
      <c r="F6" s="6">
        <v>68</v>
      </c>
      <c r="G6" s="6">
        <v>13</v>
      </c>
      <c r="H6" s="6">
        <v>31</v>
      </c>
      <c r="I6" s="6">
        <v>3</v>
      </c>
      <c r="J6" s="6">
        <v>12</v>
      </c>
      <c r="K6" s="6">
        <v>10</v>
      </c>
      <c r="L6" s="7">
        <f t="shared" si="0"/>
        <v>739</v>
      </c>
    </row>
    <row r="7" spans="1:12" x14ac:dyDescent="0.3">
      <c r="A7" s="4" t="s">
        <v>14</v>
      </c>
      <c r="B7" s="5" t="s">
        <v>17</v>
      </c>
      <c r="C7" s="6">
        <v>741</v>
      </c>
      <c r="D7" s="6">
        <v>24</v>
      </c>
      <c r="E7" s="6">
        <v>17</v>
      </c>
      <c r="F7" s="6">
        <v>14</v>
      </c>
      <c r="G7" s="6">
        <v>9</v>
      </c>
      <c r="H7" s="6">
        <v>8</v>
      </c>
      <c r="I7" s="6">
        <v>8</v>
      </c>
      <c r="J7" s="6">
        <v>5</v>
      </c>
      <c r="K7" s="6">
        <v>4</v>
      </c>
      <c r="L7" s="7">
        <f t="shared" si="0"/>
        <v>830</v>
      </c>
    </row>
    <row r="8" spans="1:12" x14ac:dyDescent="0.3">
      <c r="A8" s="4" t="s">
        <v>14</v>
      </c>
      <c r="B8" s="5" t="s">
        <v>18</v>
      </c>
      <c r="C8" s="6">
        <v>893</v>
      </c>
      <c r="D8" s="6">
        <v>19</v>
      </c>
      <c r="E8" s="6">
        <v>20</v>
      </c>
      <c r="F8" s="6">
        <v>25</v>
      </c>
      <c r="G8" s="6">
        <v>13</v>
      </c>
      <c r="H8" s="6">
        <v>16</v>
      </c>
      <c r="I8" s="6">
        <v>7</v>
      </c>
      <c r="J8" s="6">
        <v>6</v>
      </c>
      <c r="K8" s="6">
        <v>1</v>
      </c>
      <c r="L8" s="7">
        <f t="shared" si="0"/>
        <v>1000</v>
      </c>
    </row>
    <row r="9" spans="1:12" x14ac:dyDescent="0.3">
      <c r="A9" s="8" t="s">
        <v>19</v>
      </c>
      <c r="B9" s="5" t="s">
        <v>20</v>
      </c>
      <c r="C9" s="6">
        <v>742</v>
      </c>
      <c r="D9" s="6">
        <v>23</v>
      </c>
      <c r="E9" s="6">
        <v>8</v>
      </c>
      <c r="F9" s="6">
        <v>14</v>
      </c>
      <c r="G9" s="6">
        <v>13</v>
      </c>
      <c r="H9" s="6">
        <v>17</v>
      </c>
      <c r="I9" s="6">
        <v>10</v>
      </c>
      <c r="J9" s="6">
        <v>4</v>
      </c>
      <c r="K9" s="6">
        <v>8</v>
      </c>
      <c r="L9" s="7">
        <f t="shared" si="0"/>
        <v>839</v>
      </c>
    </row>
    <row r="10" spans="1:12" x14ac:dyDescent="0.3">
      <c r="A10" s="8" t="s">
        <v>19</v>
      </c>
      <c r="B10" s="5" t="s">
        <v>21</v>
      </c>
      <c r="C10" s="6">
        <v>644</v>
      </c>
      <c r="D10" s="6">
        <v>13</v>
      </c>
      <c r="E10" s="6">
        <v>14</v>
      </c>
      <c r="F10" s="6">
        <v>21</v>
      </c>
      <c r="G10" s="6">
        <v>6</v>
      </c>
      <c r="H10" s="6">
        <v>3</v>
      </c>
      <c r="I10" s="6">
        <v>2</v>
      </c>
      <c r="J10" s="6">
        <v>2</v>
      </c>
      <c r="K10" s="6">
        <v>5</v>
      </c>
      <c r="L10" s="7">
        <f t="shared" si="0"/>
        <v>710</v>
      </c>
    </row>
    <row r="11" spans="1:12" x14ac:dyDescent="0.3">
      <c r="A11" s="8" t="s">
        <v>19</v>
      </c>
      <c r="B11" s="5" t="s">
        <v>22</v>
      </c>
      <c r="C11" s="6">
        <v>709</v>
      </c>
      <c r="D11" s="6">
        <v>15</v>
      </c>
      <c r="E11" s="6">
        <v>16</v>
      </c>
      <c r="F11" s="6">
        <v>8</v>
      </c>
      <c r="G11" s="6">
        <v>5</v>
      </c>
      <c r="H11" s="6">
        <v>17</v>
      </c>
      <c r="I11" s="6">
        <v>1</v>
      </c>
      <c r="J11" s="6">
        <v>6</v>
      </c>
      <c r="K11" s="6">
        <v>3</v>
      </c>
      <c r="L11" s="7">
        <f t="shared" si="0"/>
        <v>780</v>
      </c>
    </row>
    <row r="12" spans="1:12" x14ac:dyDescent="0.3">
      <c r="A12" s="8" t="s">
        <v>19</v>
      </c>
      <c r="B12" s="5" t="s">
        <v>23</v>
      </c>
      <c r="C12" s="6">
        <v>593</v>
      </c>
      <c r="D12" s="6">
        <v>23</v>
      </c>
      <c r="E12" s="6">
        <v>16</v>
      </c>
      <c r="F12" s="6">
        <v>18</v>
      </c>
      <c r="G12" s="6">
        <v>3</v>
      </c>
      <c r="H12" s="6">
        <v>16</v>
      </c>
      <c r="I12" s="6">
        <v>5</v>
      </c>
      <c r="J12" s="6">
        <v>3</v>
      </c>
      <c r="K12" s="6">
        <v>3</v>
      </c>
      <c r="L12" s="7">
        <f t="shared" si="0"/>
        <v>680</v>
      </c>
    </row>
    <row r="13" spans="1:12" x14ac:dyDescent="0.3">
      <c r="A13" s="9" t="s">
        <v>24</v>
      </c>
      <c r="B13" s="5" t="s">
        <v>25</v>
      </c>
      <c r="C13" s="6">
        <v>186</v>
      </c>
      <c r="D13" s="6">
        <v>10</v>
      </c>
      <c r="E13" s="6">
        <v>1</v>
      </c>
      <c r="F13" s="6">
        <v>4</v>
      </c>
      <c r="G13" s="6">
        <v>3</v>
      </c>
      <c r="H13" s="6">
        <v>16</v>
      </c>
      <c r="I13" s="6">
        <v>4</v>
      </c>
      <c r="J13" s="6">
        <v>1</v>
      </c>
      <c r="K13" s="6">
        <v>3</v>
      </c>
      <c r="L13" s="7">
        <f t="shared" si="0"/>
        <v>228</v>
      </c>
    </row>
    <row r="14" spans="1:12" x14ac:dyDescent="0.3">
      <c r="A14" s="9" t="s">
        <v>24</v>
      </c>
      <c r="B14" s="5" t="s">
        <v>26</v>
      </c>
      <c r="C14" s="6">
        <v>705</v>
      </c>
      <c r="D14" s="6">
        <v>15</v>
      </c>
      <c r="E14" s="6">
        <v>8</v>
      </c>
      <c r="F14" s="6">
        <v>12</v>
      </c>
      <c r="G14" s="6">
        <v>3</v>
      </c>
      <c r="H14" s="6">
        <v>14</v>
      </c>
      <c r="I14" s="6">
        <v>5</v>
      </c>
      <c r="J14" s="6">
        <v>5</v>
      </c>
      <c r="K14" s="6">
        <v>7</v>
      </c>
      <c r="L14" s="7">
        <f t="shared" si="0"/>
        <v>774</v>
      </c>
    </row>
    <row r="15" spans="1:12" x14ac:dyDescent="0.3">
      <c r="A15" s="9" t="s">
        <v>24</v>
      </c>
      <c r="B15" s="5" t="s">
        <v>27</v>
      </c>
      <c r="C15" s="6">
        <v>481</v>
      </c>
      <c r="D15" s="6">
        <v>21</v>
      </c>
      <c r="E15" s="6">
        <v>13</v>
      </c>
      <c r="F15" s="6">
        <v>3</v>
      </c>
      <c r="G15" s="6">
        <v>4</v>
      </c>
      <c r="H15" s="6">
        <v>1</v>
      </c>
      <c r="I15" s="6">
        <v>5</v>
      </c>
      <c r="J15" s="6">
        <v>1</v>
      </c>
      <c r="K15" s="6">
        <v>2</v>
      </c>
      <c r="L15" s="7">
        <f t="shared" si="0"/>
        <v>531</v>
      </c>
    </row>
    <row r="16" spans="1:12" x14ac:dyDescent="0.3">
      <c r="A16" s="9" t="s">
        <v>24</v>
      </c>
      <c r="B16" s="5" t="s">
        <v>28</v>
      </c>
      <c r="C16" s="6">
        <v>430</v>
      </c>
      <c r="D16" s="6">
        <v>18</v>
      </c>
      <c r="E16" s="6">
        <v>0</v>
      </c>
      <c r="F16" s="6">
        <v>0</v>
      </c>
      <c r="G16" s="6">
        <v>5</v>
      </c>
      <c r="H16" s="6">
        <v>3</v>
      </c>
      <c r="I16" s="6">
        <v>8</v>
      </c>
      <c r="J16" s="6">
        <v>6</v>
      </c>
      <c r="K16" s="6">
        <v>8</v>
      </c>
      <c r="L16" s="7">
        <f t="shared" si="0"/>
        <v>478</v>
      </c>
    </row>
    <row r="17" spans="1:12" x14ac:dyDescent="0.3">
      <c r="A17" s="25" t="s">
        <v>29</v>
      </c>
      <c r="B17" s="25"/>
      <c r="C17" s="7">
        <f t="shared" ref="C17:L17" si="1">SUM(C5:C16)</f>
        <v>7395</v>
      </c>
      <c r="D17" s="7">
        <f t="shared" si="1"/>
        <v>244</v>
      </c>
      <c r="E17" s="7">
        <f t="shared" si="1"/>
        <v>163</v>
      </c>
      <c r="F17" s="7">
        <f t="shared" si="1"/>
        <v>201</v>
      </c>
      <c r="G17" s="7">
        <f t="shared" si="1"/>
        <v>86</v>
      </c>
      <c r="H17" s="7">
        <f t="shared" si="1"/>
        <v>150</v>
      </c>
      <c r="I17" s="7">
        <f t="shared" si="1"/>
        <v>66</v>
      </c>
      <c r="J17" s="7">
        <f t="shared" si="1"/>
        <v>56</v>
      </c>
      <c r="K17" s="7">
        <f t="shared" si="1"/>
        <v>58</v>
      </c>
      <c r="L17" s="7">
        <f t="shared" si="1"/>
        <v>8419</v>
      </c>
    </row>
    <row r="19" spans="1:12" ht="15.6" x14ac:dyDescent="0.3">
      <c r="A19" s="2" t="s">
        <v>30</v>
      </c>
    </row>
    <row r="20" spans="1:12" x14ac:dyDescent="0.3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</row>
    <row r="21" spans="1:12" x14ac:dyDescent="0.3">
      <c r="A21" s="4" t="s">
        <v>14</v>
      </c>
      <c r="B21" s="5" t="s">
        <v>15</v>
      </c>
      <c r="C21" s="10">
        <v>34.665199999999999</v>
      </c>
      <c r="D21" s="10">
        <v>13.473100000000001</v>
      </c>
      <c r="E21" s="10">
        <v>0.79530000000000001</v>
      </c>
      <c r="F21" s="10">
        <v>0.65490000000000004</v>
      </c>
      <c r="G21" s="10">
        <v>1.2630999999999999</v>
      </c>
      <c r="H21" s="10">
        <v>0.74850000000000005</v>
      </c>
      <c r="I21" s="10">
        <v>0.74850000000000005</v>
      </c>
      <c r="J21" s="10">
        <v>1.4034</v>
      </c>
      <c r="K21" s="10">
        <v>0.93559999999999999</v>
      </c>
      <c r="L21" s="11">
        <f t="shared" ref="L21:L32" si="2">SUM(C21:K21)</f>
        <v>54.687599999999996</v>
      </c>
    </row>
    <row r="22" spans="1:12" x14ac:dyDescent="0.3">
      <c r="A22" s="4" t="s">
        <v>14</v>
      </c>
      <c r="B22" s="5" t="s">
        <v>16</v>
      </c>
      <c r="C22" s="10">
        <v>20.075299999999999</v>
      </c>
      <c r="D22" s="10">
        <v>17.726800000000001</v>
      </c>
      <c r="E22" s="10">
        <v>1.25</v>
      </c>
      <c r="F22" s="10">
        <v>2.5756999999999999</v>
      </c>
      <c r="G22" s="10">
        <v>1.4772000000000001</v>
      </c>
      <c r="H22" s="10">
        <v>2.3483999999999998</v>
      </c>
      <c r="I22" s="10">
        <v>0.2273</v>
      </c>
      <c r="J22" s="10">
        <v>2.7271999999999998</v>
      </c>
      <c r="K22" s="10">
        <v>1.8938999999999999</v>
      </c>
      <c r="L22" s="11">
        <f t="shared" si="2"/>
        <v>50.3018</v>
      </c>
    </row>
    <row r="23" spans="1:12" x14ac:dyDescent="0.3">
      <c r="A23" s="4" t="s">
        <v>14</v>
      </c>
      <c r="B23" s="5" t="s">
        <v>17</v>
      </c>
      <c r="C23" s="10">
        <v>34.665199999999999</v>
      </c>
      <c r="D23" s="10">
        <v>13.473100000000001</v>
      </c>
      <c r="E23" s="10">
        <v>0.79530000000000001</v>
      </c>
      <c r="F23" s="10">
        <v>0.65490000000000004</v>
      </c>
      <c r="G23" s="10">
        <v>1.2630999999999999</v>
      </c>
      <c r="H23" s="10">
        <v>0.74850000000000005</v>
      </c>
      <c r="I23" s="10">
        <v>0.74850000000000005</v>
      </c>
      <c r="J23" s="10">
        <v>1.4034</v>
      </c>
      <c r="K23" s="10">
        <v>0.93559999999999999</v>
      </c>
      <c r="L23" s="11">
        <f t="shared" si="2"/>
        <v>54.687599999999996</v>
      </c>
    </row>
    <row r="24" spans="1:12" x14ac:dyDescent="0.3">
      <c r="A24" s="4" t="s">
        <v>14</v>
      </c>
      <c r="B24" s="5" t="s">
        <v>18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f t="shared" si="2"/>
        <v>0</v>
      </c>
    </row>
    <row r="25" spans="1:12" x14ac:dyDescent="0.3">
      <c r="A25" s="8" t="s">
        <v>19</v>
      </c>
      <c r="B25" s="5" t="s">
        <v>20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1">
        <f t="shared" si="2"/>
        <v>0</v>
      </c>
    </row>
    <row r="26" spans="1:12" x14ac:dyDescent="0.3">
      <c r="A26" s="8" t="s">
        <v>19</v>
      </c>
      <c r="B26" s="5" t="s">
        <v>21</v>
      </c>
      <c r="C26" s="10">
        <v>32.7742</v>
      </c>
      <c r="D26" s="10">
        <v>7.9390999999999998</v>
      </c>
      <c r="E26" s="10">
        <v>0.71250000000000002</v>
      </c>
      <c r="F26" s="10">
        <v>1.0687</v>
      </c>
      <c r="G26" s="10">
        <v>0.91610000000000003</v>
      </c>
      <c r="H26" s="10">
        <v>0.3054</v>
      </c>
      <c r="I26" s="10">
        <v>0.2036</v>
      </c>
      <c r="J26" s="10">
        <v>0.61070000000000002</v>
      </c>
      <c r="K26" s="10">
        <v>1.2723</v>
      </c>
      <c r="L26" s="11">
        <f t="shared" si="2"/>
        <v>45.802600000000005</v>
      </c>
    </row>
    <row r="27" spans="1:12" x14ac:dyDescent="0.3">
      <c r="A27" s="8" t="s">
        <v>19</v>
      </c>
      <c r="B27" s="5" t="s">
        <v>22</v>
      </c>
      <c r="C27" s="10">
        <v>30.879300000000001</v>
      </c>
      <c r="D27" s="10">
        <v>7.8395999999999999</v>
      </c>
      <c r="E27" s="10">
        <v>0.69689999999999996</v>
      </c>
      <c r="F27" s="10">
        <v>0.34839999999999999</v>
      </c>
      <c r="G27" s="10">
        <v>0.65329999999999999</v>
      </c>
      <c r="H27" s="10">
        <v>1.4807999999999999</v>
      </c>
      <c r="I27" s="10">
        <v>8.7099999999999997E-2</v>
      </c>
      <c r="J27" s="10">
        <v>1.5679000000000001</v>
      </c>
      <c r="K27" s="10">
        <v>0.65329999999999999</v>
      </c>
      <c r="L27" s="11">
        <f t="shared" si="2"/>
        <v>44.206600000000002</v>
      </c>
    </row>
    <row r="28" spans="1:12" x14ac:dyDescent="0.3">
      <c r="A28" s="8" t="s">
        <v>19</v>
      </c>
      <c r="B28" s="5" t="s">
        <v>23</v>
      </c>
      <c r="C28" s="10">
        <v>27.886199999999999</v>
      </c>
      <c r="D28" s="10">
        <v>12.979100000000001</v>
      </c>
      <c r="E28" s="10">
        <v>0.75239999999999996</v>
      </c>
      <c r="F28" s="10">
        <v>0.84650000000000003</v>
      </c>
      <c r="G28" s="10">
        <v>0.42320000000000002</v>
      </c>
      <c r="H28" s="10">
        <v>1.5047999999999999</v>
      </c>
      <c r="I28" s="10">
        <v>0.4703</v>
      </c>
      <c r="J28" s="10">
        <v>0.84650000000000003</v>
      </c>
      <c r="K28" s="10">
        <v>0.70540000000000003</v>
      </c>
      <c r="L28" s="11">
        <f t="shared" si="2"/>
        <v>46.414400000000001</v>
      </c>
    </row>
    <row r="29" spans="1:12" x14ac:dyDescent="0.3">
      <c r="A29" s="9" t="s">
        <v>24</v>
      </c>
      <c r="B29" s="5" t="s">
        <v>25</v>
      </c>
      <c r="C29" s="10">
        <v>9.8134999999999994</v>
      </c>
      <c r="D29" s="10">
        <v>6.3312999999999997</v>
      </c>
      <c r="E29" s="10">
        <v>5.28E-2</v>
      </c>
      <c r="F29" s="10">
        <v>0.21099999999999999</v>
      </c>
      <c r="G29" s="10">
        <v>0.4748</v>
      </c>
      <c r="H29" s="10">
        <v>1.6882999999999999</v>
      </c>
      <c r="I29" s="10">
        <v>0.42209999999999998</v>
      </c>
      <c r="J29" s="10">
        <v>0.31659999999999999</v>
      </c>
      <c r="K29" s="10">
        <v>0.79139999999999999</v>
      </c>
      <c r="L29" s="11">
        <f t="shared" si="2"/>
        <v>20.101800000000001</v>
      </c>
    </row>
    <row r="30" spans="1:12" x14ac:dyDescent="0.3">
      <c r="A30" s="9" t="s">
        <v>24</v>
      </c>
      <c r="B30" s="5" t="s">
        <v>26</v>
      </c>
      <c r="C30" s="10">
        <v>38.6066</v>
      </c>
      <c r="D30" s="10">
        <v>9.8569999999999993</v>
      </c>
      <c r="E30" s="10">
        <v>0.43809999999999999</v>
      </c>
      <c r="F30" s="10">
        <v>0.65710000000000002</v>
      </c>
      <c r="G30" s="10">
        <v>0.4929</v>
      </c>
      <c r="H30" s="10">
        <v>1.5333000000000001</v>
      </c>
      <c r="I30" s="10">
        <v>0.54759999999999998</v>
      </c>
      <c r="J30" s="10">
        <v>1.6428</v>
      </c>
      <c r="K30" s="10">
        <v>1.9166000000000001</v>
      </c>
      <c r="L30" s="11">
        <f t="shared" si="2"/>
        <v>55.692</v>
      </c>
    </row>
    <row r="31" spans="1:12" x14ac:dyDescent="0.3">
      <c r="A31" s="9" t="s">
        <v>24</v>
      </c>
      <c r="B31" s="5" t="s">
        <v>27</v>
      </c>
      <c r="C31" s="10">
        <v>29.086400000000001</v>
      </c>
      <c r="D31" s="10">
        <v>15.2386</v>
      </c>
      <c r="E31" s="10">
        <v>0.78610000000000002</v>
      </c>
      <c r="F31" s="10">
        <v>0.18140000000000001</v>
      </c>
      <c r="G31" s="10">
        <v>0.72560000000000002</v>
      </c>
      <c r="H31" s="10">
        <v>0.12089999999999999</v>
      </c>
      <c r="I31" s="10">
        <v>0.60470000000000002</v>
      </c>
      <c r="J31" s="10">
        <v>0.36280000000000001</v>
      </c>
      <c r="K31" s="10">
        <v>0.60470000000000002</v>
      </c>
      <c r="L31" s="11">
        <f t="shared" si="2"/>
        <v>47.711200000000005</v>
      </c>
    </row>
    <row r="32" spans="1:12" x14ac:dyDescent="0.3">
      <c r="A32" s="9" t="s">
        <v>24</v>
      </c>
      <c r="B32" s="5" t="s">
        <v>28</v>
      </c>
      <c r="C32" s="10">
        <v>17.8629</v>
      </c>
      <c r="D32" s="10">
        <v>8.9730000000000008</v>
      </c>
      <c r="E32" s="10">
        <v>0</v>
      </c>
      <c r="F32" s="10">
        <v>0</v>
      </c>
      <c r="G32" s="10">
        <v>0.62309999999999999</v>
      </c>
      <c r="H32" s="10">
        <v>0.24929999999999999</v>
      </c>
      <c r="I32" s="10">
        <v>0.66469999999999996</v>
      </c>
      <c r="J32" s="10">
        <v>1.4955000000000001</v>
      </c>
      <c r="K32" s="10">
        <v>1.6617</v>
      </c>
      <c r="L32" s="11">
        <f t="shared" si="2"/>
        <v>31.530200000000004</v>
      </c>
    </row>
    <row r="33" spans="1:12" x14ac:dyDescent="0.3">
      <c r="A33" s="25" t="s">
        <v>29</v>
      </c>
      <c r="B33" s="25"/>
      <c r="C33" s="11">
        <f t="shared" ref="C33:L33" si="3">SUM(C21:C32)</f>
        <v>276.31480000000005</v>
      </c>
      <c r="D33" s="11">
        <f t="shared" si="3"/>
        <v>113.83069999999999</v>
      </c>
      <c r="E33" s="11">
        <f t="shared" si="3"/>
        <v>6.2794000000000008</v>
      </c>
      <c r="F33" s="11">
        <f t="shared" si="3"/>
        <v>7.1985999999999999</v>
      </c>
      <c r="G33" s="11">
        <f t="shared" si="3"/>
        <v>8.3124000000000002</v>
      </c>
      <c r="H33" s="11">
        <f t="shared" si="3"/>
        <v>10.728199999999999</v>
      </c>
      <c r="I33" s="11">
        <f t="shared" si="3"/>
        <v>4.7244000000000002</v>
      </c>
      <c r="J33" s="11">
        <f t="shared" si="3"/>
        <v>12.376799999999998</v>
      </c>
      <c r="K33" s="11">
        <f t="shared" si="3"/>
        <v>11.3705</v>
      </c>
      <c r="L33" s="11">
        <f t="shared" si="3"/>
        <v>451.13580000000002</v>
      </c>
    </row>
    <row r="35" spans="1:12" ht="15.6" x14ac:dyDescent="0.3">
      <c r="A35" s="2" t="s">
        <v>31</v>
      </c>
    </row>
    <row r="36" spans="1:1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  <c r="L36" s="3" t="s">
        <v>13</v>
      </c>
    </row>
    <row r="37" spans="1:12" x14ac:dyDescent="0.3">
      <c r="A37" s="4" t="s">
        <v>14</v>
      </c>
      <c r="B37" s="5" t="s">
        <v>15</v>
      </c>
      <c r="C37" s="10">
        <v>0</v>
      </c>
      <c r="D37" s="10">
        <v>41.144799999999996</v>
      </c>
      <c r="E37" s="10">
        <v>0</v>
      </c>
      <c r="F37" s="10">
        <v>0</v>
      </c>
      <c r="G37" s="10">
        <v>11.11</v>
      </c>
      <c r="H37" s="10">
        <v>3.4725000000000001</v>
      </c>
      <c r="I37" s="10">
        <v>16.011900000000001</v>
      </c>
      <c r="J37" s="10">
        <v>9.2882999999999996</v>
      </c>
      <c r="K37" s="10">
        <v>4.4000000000000003E-3</v>
      </c>
      <c r="L37" s="11">
        <f t="shared" ref="L37:L48" si="4">SUM(C37:K37)</f>
        <v>81.031900000000007</v>
      </c>
    </row>
    <row r="38" spans="1:12" x14ac:dyDescent="0.3">
      <c r="A38" s="4" t="s">
        <v>14</v>
      </c>
      <c r="B38" s="5" t="s">
        <v>16</v>
      </c>
      <c r="C38" s="10">
        <v>0</v>
      </c>
      <c r="D38" s="10">
        <v>67.367099999999994</v>
      </c>
      <c r="E38" s="10">
        <v>0</v>
      </c>
      <c r="F38" s="10">
        <v>0</v>
      </c>
      <c r="G38" s="10">
        <v>16.169499999999999</v>
      </c>
      <c r="H38" s="10">
        <v>13.5579</v>
      </c>
      <c r="I38" s="10">
        <v>6.05</v>
      </c>
      <c r="J38" s="10">
        <v>22.460899999999999</v>
      </c>
      <c r="K38" s="10">
        <v>1.11E-2</v>
      </c>
      <c r="L38" s="11">
        <f t="shared" si="4"/>
        <v>125.61649999999999</v>
      </c>
    </row>
    <row r="39" spans="1:12" x14ac:dyDescent="0.3">
      <c r="A39" s="4" t="s">
        <v>14</v>
      </c>
      <c r="B39" s="5" t="s">
        <v>17</v>
      </c>
      <c r="C39" s="10">
        <v>0</v>
      </c>
      <c r="D39" s="10">
        <v>41.144799999999996</v>
      </c>
      <c r="E39" s="10">
        <v>0</v>
      </c>
      <c r="F39" s="10">
        <v>0</v>
      </c>
      <c r="G39" s="10">
        <v>11.11</v>
      </c>
      <c r="H39" s="10">
        <v>3.4725000000000001</v>
      </c>
      <c r="I39" s="10">
        <v>16.011900000000001</v>
      </c>
      <c r="J39" s="10">
        <v>9.2882999999999996</v>
      </c>
      <c r="K39" s="10">
        <v>4.4000000000000003E-3</v>
      </c>
      <c r="L39" s="11">
        <f t="shared" si="4"/>
        <v>81.031900000000007</v>
      </c>
    </row>
    <row r="40" spans="1:12" x14ac:dyDescent="0.3">
      <c r="A40" s="4" t="s">
        <v>14</v>
      </c>
      <c r="B40" s="5" t="s">
        <v>18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f t="shared" si="4"/>
        <v>0</v>
      </c>
    </row>
    <row r="41" spans="1:12" x14ac:dyDescent="0.3">
      <c r="A41" s="8" t="s">
        <v>19</v>
      </c>
      <c r="B41" s="5" t="s">
        <v>20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f t="shared" si="4"/>
        <v>0</v>
      </c>
    </row>
    <row r="42" spans="1:12" x14ac:dyDescent="0.3">
      <c r="A42" s="8" t="s">
        <v>19</v>
      </c>
      <c r="B42" s="5" t="s">
        <v>21</v>
      </c>
      <c r="C42" s="10">
        <v>0</v>
      </c>
      <c r="D42" s="10">
        <v>77.166700000000006</v>
      </c>
      <c r="E42" s="10">
        <v>0</v>
      </c>
      <c r="F42" s="10">
        <v>0</v>
      </c>
      <c r="G42" s="10">
        <v>25.645299999999999</v>
      </c>
      <c r="H42" s="10">
        <v>4.5087999999999999</v>
      </c>
      <c r="I42" s="10">
        <v>13.860099999999999</v>
      </c>
      <c r="J42" s="10">
        <v>12.864100000000001</v>
      </c>
      <c r="K42" s="10">
        <v>1.9E-2</v>
      </c>
      <c r="L42" s="11">
        <f t="shared" si="4"/>
        <v>134.06400000000002</v>
      </c>
    </row>
    <row r="43" spans="1:12" x14ac:dyDescent="0.3">
      <c r="A43" s="8" t="s">
        <v>19</v>
      </c>
      <c r="B43" s="5" t="s">
        <v>22</v>
      </c>
      <c r="C43" s="10">
        <v>0</v>
      </c>
      <c r="D43" s="10">
        <v>30.854299999999999</v>
      </c>
      <c r="E43" s="10">
        <v>0</v>
      </c>
      <c r="F43" s="10">
        <v>0</v>
      </c>
      <c r="G43" s="10">
        <v>7.4057000000000004</v>
      </c>
      <c r="H43" s="10">
        <v>8.8536999999999999</v>
      </c>
      <c r="I43" s="10">
        <v>2.4014000000000002</v>
      </c>
      <c r="J43" s="10">
        <v>13.3733</v>
      </c>
      <c r="K43" s="10">
        <v>4.0000000000000001E-3</v>
      </c>
      <c r="L43" s="11">
        <f t="shared" si="4"/>
        <v>62.892399999999995</v>
      </c>
    </row>
    <row r="44" spans="1:12" x14ac:dyDescent="0.3">
      <c r="A44" s="8" t="s">
        <v>19</v>
      </c>
      <c r="B44" s="5" t="s">
        <v>23</v>
      </c>
      <c r="C44" s="10">
        <v>0</v>
      </c>
      <c r="D44" s="10">
        <v>82.235500000000002</v>
      </c>
      <c r="E44" s="10">
        <v>0</v>
      </c>
      <c r="F44" s="10">
        <v>0</v>
      </c>
      <c r="G44" s="10">
        <v>7.7236000000000002</v>
      </c>
      <c r="H44" s="10">
        <v>14.484400000000001</v>
      </c>
      <c r="I44" s="10">
        <v>20.871300000000002</v>
      </c>
      <c r="J44" s="10">
        <v>11.6229</v>
      </c>
      <c r="K44" s="10">
        <v>6.8999999999999999E-3</v>
      </c>
      <c r="L44" s="11">
        <f t="shared" si="4"/>
        <v>136.94460000000001</v>
      </c>
    </row>
    <row r="45" spans="1:12" x14ac:dyDescent="0.3">
      <c r="A45" s="9" t="s">
        <v>24</v>
      </c>
      <c r="B45" s="5" t="s">
        <v>25</v>
      </c>
      <c r="C45" s="10">
        <v>0</v>
      </c>
      <c r="D45" s="10">
        <v>37.830199999999998</v>
      </c>
      <c r="E45" s="10">
        <v>0</v>
      </c>
      <c r="F45" s="10">
        <v>0</v>
      </c>
      <c r="G45" s="10">
        <v>8.1720000000000006</v>
      </c>
      <c r="H45" s="10">
        <v>15.3253</v>
      </c>
      <c r="I45" s="10">
        <v>17.666399999999999</v>
      </c>
      <c r="J45" s="10">
        <v>4.0991999999999997</v>
      </c>
      <c r="K45" s="10">
        <v>7.3000000000000001E-3</v>
      </c>
      <c r="L45" s="11">
        <f t="shared" si="4"/>
        <v>83.100399999999993</v>
      </c>
    </row>
    <row r="46" spans="1:12" x14ac:dyDescent="0.3">
      <c r="A46" s="9" t="s">
        <v>24</v>
      </c>
      <c r="B46" s="5" t="s">
        <v>26</v>
      </c>
      <c r="C46" s="10">
        <v>0</v>
      </c>
      <c r="D46" s="10">
        <v>43.622300000000003</v>
      </c>
      <c r="E46" s="10">
        <v>0</v>
      </c>
      <c r="F46" s="10">
        <v>0</v>
      </c>
      <c r="G46" s="10">
        <v>6.2820999999999998</v>
      </c>
      <c r="H46" s="10">
        <v>10.3085</v>
      </c>
      <c r="I46" s="10">
        <v>16.975999999999999</v>
      </c>
      <c r="J46" s="10">
        <v>15.7562</v>
      </c>
      <c r="K46" s="10">
        <v>1.2999999999999999E-2</v>
      </c>
      <c r="L46" s="11">
        <f t="shared" si="4"/>
        <v>92.958100000000002</v>
      </c>
    </row>
    <row r="47" spans="1:12" x14ac:dyDescent="0.3">
      <c r="A47" s="9" t="s">
        <v>24</v>
      </c>
      <c r="B47" s="5" t="s">
        <v>27</v>
      </c>
      <c r="C47" s="10">
        <v>0</v>
      </c>
      <c r="D47" s="10">
        <v>62.887900000000002</v>
      </c>
      <c r="E47" s="10">
        <v>0</v>
      </c>
      <c r="F47" s="10">
        <v>0</v>
      </c>
      <c r="G47" s="10">
        <v>8.6254000000000008</v>
      </c>
      <c r="H47" s="10">
        <v>0.75819999999999999</v>
      </c>
      <c r="I47" s="10">
        <v>17.481000000000002</v>
      </c>
      <c r="J47" s="10">
        <v>3.2450000000000001</v>
      </c>
      <c r="K47" s="10">
        <v>3.8E-3</v>
      </c>
      <c r="L47" s="11">
        <f t="shared" si="4"/>
        <v>93.001300000000001</v>
      </c>
    </row>
    <row r="48" spans="1:12" x14ac:dyDescent="0.3">
      <c r="A48" s="9" t="s">
        <v>24</v>
      </c>
      <c r="B48" s="5" t="s">
        <v>28</v>
      </c>
      <c r="C48" s="10">
        <v>0</v>
      </c>
      <c r="D48" s="10">
        <v>47.078699999999998</v>
      </c>
      <c r="E48" s="10">
        <v>0</v>
      </c>
      <c r="F48" s="10">
        <v>0</v>
      </c>
      <c r="G48" s="10">
        <v>9.4164999999999992</v>
      </c>
      <c r="H48" s="10">
        <v>1.9866999999999999</v>
      </c>
      <c r="I48" s="10">
        <v>24.428100000000001</v>
      </c>
      <c r="J48" s="10">
        <v>17.0046</v>
      </c>
      <c r="K48" s="10">
        <v>1.34E-2</v>
      </c>
      <c r="L48" s="11">
        <f t="shared" si="4"/>
        <v>99.927999999999997</v>
      </c>
    </row>
    <row r="49" spans="1:12" x14ac:dyDescent="0.3">
      <c r="A49" s="25" t="s">
        <v>29</v>
      </c>
      <c r="B49" s="25"/>
      <c r="C49" s="11">
        <f t="shared" ref="C49:L49" si="5">SUM(C37:C48)</f>
        <v>0</v>
      </c>
      <c r="D49" s="11">
        <f t="shared" si="5"/>
        <v>531.33230000000003</v>
      </c>
      <c r="E49" s="11">
        <f t="shared" si="5"/>
        <v>0</v>
      </c>
      <c r="F49" s="11">
        <f t="shared" si="5"/>
        <v>0</v>
      </c>
      <c r="G49" s="11">
        <f t="shared" si="5"/>
        <v>111.66009999999999</v>
      </c>
      <c r="H49" s="11">
        <f t="shared" si="5"/>
        <v>76.728499999999997</v>
      </c>
      <c r="I49" s="11">
        <f t="shared" si="5"/>
        <v>151.75810000000001</v>
      </c>
      <c r="J49" s="11">
        <f t="shared" si="5"/>
        <v>119.00279999999999</v>
      </c>
      <c r="K49" s="11">
        <f t="shared" si="5"/>
        <v>8.7300000000000003E-2</v>
      </c>
      <c r="L49" s="11">
        <f t="shared" si="5"/>
        <v>990.56910000000016</v>
      </c>
    </row>
    <row r="51" spans="1:12" ht="15.6" x14ac:dyDescent="0.3">
      <c r="A51" s="2" t="s">
        <v>32</v>
      </c>
    </row>
    <row r="52" spans="1:12" x14ac:dyDescent="0.3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</row>
    <row r="53" spans="1:12" x14ac:dyDescent="0.3">
      <c r="A53" s="4" t="s">
        <v>14</v>
      </c>
      <c r="B53" s="5" t="s">
        <v>15</v>
      </c>
      <c r="C53" s="10">
        <v>7.08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f t="shared" ref="L53:L64" si="6">SUM(C53:K53)</f>
        <v>7.08</v>
      </c>
    </row>
    <row r="54" spans="1:12" x14ac:dyDescent="0.3">
      <c r="A54" s="4" t="s">
        <v>14</v>
      </c>
      <c r="B54" s="5" t="s">
        <v>16</v>
      </c>
      <c r="C54" s="10">
        <v>5.1022999999999996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f t="shared" si="6"/>
        <v>5.1022999999999996</v>
      </c>
    </row>
    <row r="55" spans="1:12" x14ac:dyDescent="0.3">
      <c r="A55" s="4" t="s">
        <v>14</v>
      </c>
      <c r="B55" s="5" t="s">
        <v>17</v>
      </c>
      <c r="C55" s="10">
        <v>7.08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f t="shared" si="6"/>
        <v>7.08</v>
      </c>
    </row>
    <row r="56" spans="1:12" x14ac:dyDescent="0.3">
      <c r="A56" s="4" t="s">
        <v>14</v>
      </c>
      <c r="B56" s="5" t="s">
        <v>18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6"/>
        <v>0</v>
      </c>
    </row>
    <row r="57" spans="1:12" x14ac:dyDescent="0.3">
      <c r="A57" s="8" t="s">
        <v>19</v>
      </c>
      <c r="B57" s="5" t="s">
        <v>20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f t="shared" si="6"/>
        <v>0</v>
      </c>
    </row>
    <row r="58" spans="1:12" x14ac:dyDescent="0.3">
      <c r="A58" s="8" t="s">
        <v>19</v>
      </c>
      <c r="B58" s="5" t="s">
        <v>21</v>
      </c>
      <c r="C58" s="10">
        <v>21.305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f t="shared" si="6"/>
        <v>21.305</v>
      </c>
    </row>
    <row r="59" spans="1:12" x14ac:dyDescent="0.3">
      <c r="A59" s="8" t="s">
        <v>19</v>
      </c>
      <c r="B59" s="5" t="s">
        <v>22</v>
      </c>
      <c r="C59" s="10">
        <v>8.1279000000000003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f t="shared" si="6"/>
        <v>8.1279000000000003</v>
      </c>
    </row>
    <row r="60" spans="1:12" x14ac:dyDescent="0.3">
      <c r="A60" s="8" t="s">
        <v>19</v>
      </c>
      <c r="B60" s="5" t="s">
        <v>23</v>
      </c>
      <c r="C60" s="10">
        <v>11.816700000000001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f t="shared" si="6"/>
        <v>11.816700000000001</v>
      </c>
    </row>
    <row r="61" spans="1:12" x14ac:dyDescent="0.3">
      <c r="A61" s="9" t="s">
        <v>24</v>
      </c>
      <c r="B61" s="5" t="s">
        <v>25</v>
      </c>
      <c r="C61" s="10">
        <v>3.9216000000000002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f t="shared" si="6"/>
        <v>3.9216000000000002</v>
      </c>
    </row>
    <row r="62" spans="1:12" x14ac:dyDescent="0.3">
      <c r="A62" s="9" t="s">
        <v>24</v>
      </c>
      <c r="B62" s="5" t="s">
        <v>26</v>
      </c>
      <c r="C62" s="10">
        <v>11.426500000000001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f t="shared" si="6"/>
        <v>11.426500000000001</v>
      </c>
    </row>
    <row r="63" spans="1:12" x14ac:dyDescent="0.3">
      <c r="A63" s="9" t="s">
        <v>24</v>
      </c>
      <c r="B63" s="5" t="s">
        <v>27</v>
      </c>
      <c r="C63" s="10">
        <v>8.0279000000000007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f t="shared" si="6"/>
        <v>8.0279000000000007</v>
      </c>
    </row>
    <row r="64" spans="1:12" x14ac:dyDescent="0.3">
      <c r="A64" s="9" t="s">
        <v>24</v>
      </c>
      <c r="B64" s="5" t="s">
        <v>28</v>
      </c>
      <c r="C64" s="10">
        <v>6.2679999999999998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f t="shared" si="6"/>
        <v>6.2679999999999998</v>
      </c>
    </row>
    <row r="65" spans="1:12" x14ac:dyDescent="0.3">
      <c r="A65" s="25" t="s">
        <v>29</v>
      </c>
      <c r="B65" s="25"/>
      <c r="C65" s="11">
        <f t="shared" ref="C65:L65" si="7">SUM(C53:C64)</f>
        <v>90.155900000000003</v>
      </c>
      <c r="D65" s="11">
        <f t="shared" si="7"/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si="7"/>
        <v>0</v>
      </c>
      <c r="J65" s="11">
        <f t="shared" si="7"/>
        <v>0</v>
      </c>
      <c r="K65" s="11">
        <f t="shared" si="7"/>
        <v>0</v>
      </c>
      <c r="L65" s="11">
        <f t="shared" si="7"/>
        <v>90.155900000000003</v>
      </c>
    </row>
    <row r="67" spans="1:12" ht="15.6" x14ac:dyDescent="0.3">
      <c r="A67" s="2" t="s">
        <v>33</v>
      </c>
    </row>
    <row r="68" spans="1:12" x14ac:dyDescent="0.3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</row>
    <row r="69" spans="1:12" x14ac:dyDescent="0.3">
      <c r="A69" s="4" t="s">
        <v>14</v>
      </c>
      <c r="B69" s="5" t="s">
        <v>15</v>
      </c>
      <c r="C69" s="10">
        <v>0</v>
      </c>
      <c r="D69" s="10">
        <v>4.3498999999999999</v>
      </c>
      <c r="E69" s="10">
        <v>0</v>
      </c>
      <c r="F69" s="10">
        <v>0</v>
      </c>
      <c r="G69" s="10">
        <v>5.7544000000000004</v>
      </c>
      <c r="H69" s="10">
        <v>0.39229999999999998</v>
      </c>
      <c r="I69" s="10">
        <v>14.5113</v>
      </c>
      <c r="J69" s="10">
        <v>6.2664999999999997</v>
      </c>
      <c r="K69" s="10">
        <v>0.8952</v>
      </c>
      <c r="L69" s="11">
        <f t="shared" ref="L69:L80" si="8">SUM(C69:K69)</f>
        <v>32.169600000000003</v>
      </c>
    </row>
    <row r="70" spans="1:12" x14ac:dyDescent="0.3">
      <c r="A70" s="4" t="s">
        <v>14</v>
      </c>
      <c r="B70" s="5" t="s">
        <v>16</v>
      </c>
      <c r="C70" s="10">
        <v>0</v>
      </c>
      <c r="D70" s="10">
        <v>7.1222000000000003</v>
      </c>
      <c r="E70" s="10">
        <v>0</v>
      </c>
      <c r="F70" s="10">
        <v>0</v>
      </c>
      <c r="G70" s="10">
        <v>8.3749000000000002</v>
      </c>
      <c r="H70" s="10">
        <v>1.5316000000000001</v>
      </c>
      <c r="I70" s="10">
        <v>5.4829999999999997</v>
      </c>
      <c r="J70" s="10">
        <v>15.153700000000001</v>
      </c>
      <c r="K70" s="10">
        <v>2.2547999999999999</v>
      </c>
      <c r="L70" s="11">
        <f t="shared" si="8"/>
        <v>39.920200000000008</v>
      </c>
    </row>
    <row r="71" spans="1:12" x14ac:dyDescent="0.3">
      <c r="A71" s="4" t="s">
        <v>14</v>
      </c>
      <c r="B71" s="5" t="s">
        <v>17</v>
      </c>
      <c r="C71" s="10">
        <v>0</v>
      </c>
      <c r="D71" s="10">
        <v>4.3498999999999999</v>
      </c>
      <c r="E71" s="10">
        <v>0</v>
      </c>
      <c r="F71" s="10">
        <v>0</v>
      </c>
      <c r="G71" s="10">
        <v>5.7544000000000004</v>
      </c>
      <c r="H71" s="10">
        <v>0.39229999999999998</v>
      </c>
      <c r="I71" s="10">
        <v>14.5113</v>
      </c>
      <c r="J71" s="10">
        <v>6.2664999999999997</v>
      </c>
      <c r="K71" s="10">
        <v>0.8952</v>
      </c>
      <c r="L71" s="11">
        <f t="shared" si="8"/>
        <v>32.169600000000003</v>
      </c>
    </row>
    <row r="72" spans="1:12" x14ac:dyDescent="0.3">
      <c r="A72" s="4" t="s">
        <v>14</v>
      </c>
      <c r="B72" s="5" t="s">
        <v>18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f t="shared" si="8"/>
        <v>0</v>
      </c>
    </row>
    <row r="73" spans="1:12" x14ac:dyDescent="0.3">
      <c r="A73" s="8" t="s">
        <v>19</v>
      </c>
      <c r="B73" s="5" t="s">
        <v>20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f t="shared" si="8"/>
        <v>0</v>
      </c>
    </row>
    <row r="74" spans="1:12" x14ac:dyDescent="0.3">
      <c r="A74" s="8" t="s">
        <v>19</v>
      </c>
      <c r="B74" s="5" t="s">
        <v>21</v>
      </c>
      <c r="C74" s="10">
        <v>0</v>
      </c>
      <c r="D74" s="10">
        <v>8.1583000000000006</v>
      </c>
      <c r="E74" s="10">
        <v>0</v>
      </c>
      <c r="F74" s="10">
        <v>0</v>
      </c>
      <c r="G74" s="10">
        <v>13.2828</v>
      </c>
      <c r="H74" s="10">
        <v>0.50929999999999997</v>
      </c>
      <c r="I74" s="10">
        <v>12.561199999999999</v>
      </c>
      <c r="J74" s="10">
        <v>8.6790000000000003</v>
      </c>
      <c r="K74" s="10">
        <v>3.8742999999999999</v>
      </c>
      <c r="L74" s="11">
        <f t="shared" si="8"/>
        <v>47.064900000000002</v>
      </c>
    </row>
    <row r="75" spans="1:12" x14ac:dyDescent="0.3">
      <c r="A75" s="8" t="s">
        <v>19</v>
      </c>
      <c r="B75" s="5" t="s">
        <v>22</v>
      </c>
      <c r="C75" s="10">
        <v>0</v>
      </c>
      <c r="D75" s="10">
        <v>3.262</v>
      </c>
      <c r="E75" s="10">
        <v>0</v>
      </c>
      <c r="F75" s="10">
        <v>0</v>
      </c>
      <c r="G75" s="10">
        <v>3.8357000000000001</v>
      </c>
      <c r="H75" s="10">
        <v>1.0002</v>
      </c>
      <c r="I75" s="10">
        <v>2.1764000000000001</v>
      </c>
      <c r="J75" s="10">
        <v>9.0226000000000006</v>
      </c>
      <c r="K75" s="10">
        <v>0.80549999999999999</v>
      </c>
      <c r="L75" s="11">
        <f t="shared" si="8"/>
        <v>20.102399999999999</v>
      </c>
    </row>
    <row r="76" spans="1:12" x14ac:dyDescent="0.3">
      <c r="A76" s="8" t="s">
        <v>19</v>
      </c>
      <c r="B76" s="5" t="s">
        <v>23</v>
      </c>
      <c r="C76" s="10">
        <v>0</v>
      </c>
      <c r="D76" s="10">
        <v>8.6942000000000004</v>
      </c>
      <c r="E76" s="10">
        <v>0</v>
      </c>
      <c r="F76" s="10">
        <v>0</v>
      </c>
      <c r="G76" s="10">
        <v>4.0004</v>
      </c>
      <c r="H76" s="10">
        <v>1.6363000000000001</v>
      </c>
      <c r="I76" s="10">
        <v>18.915400000000002</v>
      </c>
      <c r="J76" s="10">
        <v>7.8415999999999997</v>
      </c>
      <c r="K76" s="10">
        <v>1.4001999999999999</v>
      </c>
      <c r="L76" s="11">
        <f t="shared" si="8"/>
        <v>42.488100000000003</v>
      </c>
    </row>
    <row r="77" spans="1:12" x14ac:dyDescent="0.3">
      <c r="A77" s="9" t="s">
        <v>24</v>
      </c>
      <c r="B77" s="5" t="s">
        <v>25</v>
      </c>
      <c r="C77" s="10">
        <v>0</v>
      </c>
      <c r="D77" s="10">
        <v>3.9994999999999998</v>
      </c>
      <c r="E77" s="10">
        <v>0</v>
      </c>
      <c r="F77" s="10">
        <v>0</v>
      </c>
      <c r="G77" s="10">
        <v>4.2325999999999997</v>
      </c>
      <c r="H77" s="10">
        <v>1.7313000000000001</v>
      </c>
      <c r="I77" s="10">
        <v>16.0108</v>
      </c>
      <c r="J77" s="10">
        <v>2.7656000000000001</v>
      </c>
      <c r="K77" s="10">
        <v>1.4815</v>
      </c>
      <c r="L77" s="11">
        <f t="shared" si="8"/>
        <v>30.221299999999999</v>
      </c>
    </row>
    <row r="78" spans="1:12" x14ac:dyDescent="0.3">
      <c r="A78" s="9" t="s">
        <v>24</v>
      </c>
      <c r="B78" s="5" t="s">
        <v>26</v>
      </c>
      <c r="C78" s="10">
        <v>0</v>
      </c>
      <c r="D78" s="10">
        <v>4.6119000000000003</v>
      </c>
      <c r="E78" s="10">
        <v>0</v>
      </c>
      <c r="F78" s="10">
        <v>0</v>
      </c>
      <c r="G78" s="10">
        <v>3.2538</v>
      </c>
      <c r="H78" s="10">
        <v>1.1645000000000001</v>
      </c>
      <c r="I78" s="10">
        <v>15.3851</v>
      </c>
      <c r="J78" s="10">
        <v>10.6302</v>
      </c>
      <c r="K78" s="10">
        <v>2.6573000000000002</v>
      </c>
      <c r="L78" s="11">
        <f t="shared" si="8"/>
        <v>37.702800000000003</v>
      </c>
    </row>
    <row r="79" spans="1:12" x14ac:dyDescent="0.3">
      <c r="A79" s="9" t="s">
        <v>24</v>
      </c>
      <c r="B79" s="5" t="s">
        <v>27</v>
      </c>
      <c r="C79" s="10">
        <v>0</v>
      </c>
      <c r="D79" s="10">
        <v>6.6486999999999998</v>
      </c>
      <c r="E79" s="10">
        <v>0</v>
      </c>
      <c r="F79" s="10">
        <v>0</v>
      </c>
      <c r="G79" s="10">
        <v>4.4675000000000002</v>
      </c>
      <c r="H79" s="10">
        <v>8.5699999999999998E-2</v>
      </c>
      <c r="I79" s="10">
        <v>15.8428</v>
      </c>
      <c r="J79" s="10">
        <v>2.1892999999999998</v>
      </c>
      <c r="K79" s="10">
        <v>0.78180000000000005</v>
      </c>
      <c r="L79" s="11">
        <f t="shared" si="8"/>
        <v>30.015799999999999</v>
      </c>
    </row>
    <row r="80" spans="1:12" x14ac:dyDescent="0.3">
      <c r="A80" s="9" t="s">
        <v>24</v>
      </c>
      <c r="B80" s="5" t="s">
        <v>28</v>
      </c>
      <c r="C80" s="10">
        <v>0</v>
      </c>
      <c r="D80" s="10">
        <v>4.9772999999999996</v>
      </c>
      <c r="E80" s="10">
        <v>0</v>
      </c>
      <c r="F80" s="10">
        <v>0</v>
      </c>
      <c r="G80" s="10">
        <v>4.8772000000000002</v>
      </c>
      <c r="H80" s="10">
        <v>0.22439999999999999</v>
      </c>
      <c r="I80" s="10">
        <v>22.1389</v>
      </c>
      <c r="J80" s="10">
        <v>11.4725</v>
      </c>
      <c r="K80" s="10">
        <v>2.7313000000000001</v>
      </c>
      <c r="L80" s="11">
        <f t="shared" si="8"/>
        <v>46.421599999999991</v>
      </c>
    </row>
    <row r="81" spans="1:12" x14ac:dyDescent="0.3">
      <c r="A81" s="25" t="s">
        <v>29</v>
      </c>
      <c r="B81" s="25"/>
      <c r="C81" s="11">
        <f t="shared" ref="C81:L81" si="9">SUM(C69:C80)</f>
        <v>0</v>
      </c>
      <c r="D81" s="11">
        <f t="shared" si="9"/>
        <v>56.173899999999996</v>
      </c>
      <c r="E81" s="11">
        <f t="shared" si="9"/>
        <v>0</v>
      </c>
      <c r="F81" s="11">
        <f t="shared" si="9"/>
        <v>0</v>
      </c>
      <c r="G81" s="11">
        <f t="shared" si="9"/>
        <v>57.8337</v>
      </c>
      <c r="H81" s="11">
        <f t="shared" si="9"/>
        <v>8.6678999999999995</v>
      </c>
      <c r="I81" s="11">
        <f t="shared" si="9"/>
        <v>137.53620000000001</v>
      </c>
      <c r="J81" s="11">
        <f t="shared" si="9"/>
        <v>80.287499999999994</v>
      </c>
      <c r="K81" s="11">
        <f t="shared" si="9"/>
        <v>17.777100000000001</v>
      </c>
      <c r="L81" s="11">
        <f t="shared" si="9"/>
        <v>358.27630000000005</v>
      </c>
    </row>
    <row r="83" spans="1:12" ht="15.6" x14ac:dyDescent="0.3">
      <c r="A83" s="2" t="s">
        <v>34</v>
      </c>
    </row>
    <row r="84" spans="1:12" x14ac:dyDescent="0.3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</row>
    <row r="85" spans="1:12" x14ac:dyDescent="0.3">
      <c r="A85" s="4" t="s">
        <v>14</v>
      </c>
      <c r="B85" s="5" t="s">
        <v>15</v>
      </c>
      <c r="C85" s="10">
        <v>2397.1734000000001</v>
      </c>
      <c r="D85" s="10">
        <v>118.6519</v>
      </c>
      <c r="E85" s="10">
        <v>55.902999999999999</v>
      </c>
      <c r="F85" s="10">
        <v>59.067</v>
      </c>
      <c r="G85" s="10">
        <v>18.043399999999998</v>
      </c>
      <c r="H85" s="10">
        <v>5.1692</v>
      </c>
      <c r="I85" s="10">
        <v>89.391999999999996</v>
      </c>
      <c r="J85" s="10">
        <v>37.142899999999997</v>
      </c>
      <c r="K85" s="10">
        <v>6.7725</v>
      </c>
      <c r="L85" s="11">
        <f t="shared" ref="L85:L96" si="10">SUM(C85:K85)</f>
        <v>2787.3152999999993</v>
      </c>
    </row>
    <row r="86" spans="1:12" x14ac:dyDescent="0.3">
      <c r="A86" s="4" t="s">
        <v>14</v>
      </c>
      <c r="B86" s="5" t="s">
        <v>16</v>
      </c>
      <c r="C86" s="10">
        <v>1966.7872</v>
      </c>
      <c r="D86" s="10">
        <v>257.85829999999999</v>
      </c>
      <c r="E86" s="10">
        <v>158.36179999999999</v>
      </c>
      <c r="F86" s="10">
        <v>312.65820000000002</v>
      </c>
      <c r="G86" s="10">
        <v>41.334200000000003</v>
      </c>
      <c r="H86" s="10">
        <v>31.9221</v>
      </c>
      <c r="I86" s="10">
        <v>25.934899999999999</v>
      </c>
      <c r="J86" s="10">
        <v>105.6893</v>
      </c>
      <c r="K86" s="10">
        <v>11.9902</v>
      </c>
      <c r="L86" s="11">
        <f t="shared" si="10"/>
        <v>2912.5362000000005</v>
      </c>
    </row>
    <row r="87" spans="1:12" x14ac:dyDescent="0.3">
      <c r="A87" s="4" t="s">
        <v>14</v>
      </c>
      <c r="B87" s="5" t="s">
        <v>17</v>
      </c>
      <c r="C87" s="10">
        <v>2397.1734000000001</v>
      </c>
      <c r="D87" s="10">
        <v>118.6519</v>
      </c>
      <c r="E87" s="10">
        <v>55.902999999999999</v>
      </c>
      <c r="F87" s="10">
        <v>59.067</v>
      </c>
      <c r="G87" s="10">
        <v>18.043399999999998</v>
      </c>
      <c r="H87" s="10">
        <v>5.1692</v>
      </c>
      <c r="I87" s="10">
        <v>89.391999999999996</v>
      </c>
      <c r="J87" s="10">
        <v>37.142899999999997</v>
      </c>
      <c r="K87" s="10">
        <v>6.7725</v>
      </c>
      <c r="L87" s="11">
        <f t="shared" si="10"/>
        <v>2787.3152999999993</v>
      </c>
    </row>
    <row r="88" spans="1:12" x14ac:dyDescent="0.3">
      <c r="A88" s="4" t="s">
        <v>14</v>
      </c>
      <c r="B88" s="5" t="s">
        <v>18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f t="shared" si="10"/>
        <v>0</v>
      </c>
    </row>
    <row r="89" spans="1:12" x14ac:dyDescent="0.3">
      <c r="A89" s="8" t="s">
        <v>19</v>
      </c>
      <c r="B89" s="5" t="s">
        <v>20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f t="shared" si="10"/>
        <v>0</v>
      </c>
    </row>
    <row r="90" spans="1:12" x14ac:dyDescent="0.3">
      <c r="A90" s="8" t="s">
        <v>19</v>
      </c>
      <c r="B90" s="5" t="s">
        <v>21</v>
      </c>
      <c r="C90" s="10">
        <v>6082.3281999999999</v>
      </c>
      <c r="D90" s="10">
        <v>197.06649999999999</v>
      </c>
      <c r="E90" s="10">
        <v>133.98179999999999</v>
      </c>
      <c r="F90" s="10">
        <v>262.86840000000001</v>
      </c>
      <c r="G90" s="10">
        <v>19.302199999999999</v>
      </c>
      <c r="H90" s="10">
        <v>11.547000000000001</v>
      </c>
      <c r="I90" s="10">
        <v>5.2683</v>
      </c>
      <c r="J90" s="10">
        <v>39.891399999999997</v>
      </c>
      <c r="K90" s="10">
        <v>17.309699999999999</v>
      </c>
      <c r="L90" s="11">
        <f t="shared" si="10"/>
        <v>6769.5634999999993</v>
      </c>
    </row>
    <row r="91" spans="1:12" x14ac:dyDescent="0.3">
      <c r="A91" s="8" t="s">
        <v>19</v>
      </c>
      <c r="B91" s="5" t="s">
        <v>22</v>
      </c>
      <c r="C91" s="10">
        <v>3344.0853999999999</v>
      </c>
      <c r="D91" s="10">
        <v>113.6007</v>
      </c>
      <c r="E91" s="10">
        <v>59.665399999999998</v>
      </c>
      <c r="F91" s="10">
        <v>38.478200000000001</v>
      </c>
      <c r="G91" s="10">
        <v>14.8582</v>
      </c>
      <c r="H91" s="10">
        <v>19.326599999999999</v>
      </c>
      <c r="I91" s="10">
        <v>5.0205000000000002</v>
      </c>
      <c r="J91" s="10">
        <v>74.481700000000004</v>
      </c>
      <c r="K91" s="10">
        <v>3.9220000000000002</v>
      </c>
      <c r="L91" s="11">
        <f t="shared" si="10"/>
        <v>3673.4386999999997</v>
      </c>
    </row>
    <row r="92" spans="1:12" x14ac:dyDescent="0.3">
      <c r="A92" s="8" t="s">
        <v>19</v>
      </c>
      <c r="B92" s="5" t="s">
        <v>23</v>
      </c>
      <c r="C92" s="10">
        <v>4693.4996000000001</v>
      </c>
      <c r="D92" s="10">
        <v>256.95460000000003</v>
      </c>
      <c r="E92" s="10">
        <v>88.773499999999999</v>
      </c>
      <c r="F92" s="10">
        <v>150.6593</v>
      </c>
      <c r="G92" s="10">
        <v>13.5791</v>
      </c>
      <c r="H92" s="10">
        <v>28.215299999999999</v>
      </c>
      <c r="I92" s="10">
        <v>46.807000000000002</v>
      </c>
      <c r="J92" s="10">
        <v>44.111800000000002</v>
      </c>
      <c r="K92" s="10">
        <v>7.7530000000000001</v>
      </c>
      <c r="L92" s="11">
        <f t="shared" si="10"/>
        <v>5330.3531999999996</v>
      </c>
    </row>
    <row r="93" spans="1:12" x14ac:dyDescent="0.3">
      <c r="A93" s="9" t="s">
        <v>24</v>
      </c>
      <c r="B93" s="5" t="s">
        <v>25</v>
      </c>
      <c r="C93" s="10">
        <v>1433.6359</v>
      </c>
      <c r="D93" s="10">
        <v>107.271</v>
      </c>
      <c r="E93" s="10">
        <v>5.0869999999999997</v>
      </c>
      <c r="F93" s="10">
        <v>28.342700000000001</v>
      </c>
      <c r="G93" s="10">
        <v>10.7051</v>
      </c>
      <c r="H93" s="10">
        <v>24.481200000000001</v>
      </c>
      <c r="I93" s="10">
        <v>76.105000000000004</v>
      </c>
      <c r="J93" s="10">
        <v>17.834199999999999</v>
      </c>
      <c r="K93" s="10">
        <v>2.8757999999999999</v>
      </c>
      <c r="L93" s="11">
        <f t="shared" si="10"/>
        <v>1706.3378999999998</v>
      </c>
    </row>
    <row r="94" spans="1:12" x14ac:dyDescent="0.3">
      <c r="A94" s="9" t="s">
        <v>24</v>
      </c>
      <c r="B94" s="5" t="s">
        <v>26</v>
      </c>
      <c r="C94" s="10">
        <v>4220.9524000000001</v>
      </c>
      <c r="D94" s="10">
        <v>140.84639999999999</v>
      </c>
      <c r="E94" s="10">
        <v>42.038200000000003</v>
      </c>
      <c r="F94" s="10">
        <v>109.4958</v>
      </c>
      <c r="G94" s="10">
        <v>12.4885</v>
      </c>
      <c r="H94" s="10">
        <v>17.1036</v>
      </c>
      <c r="I94" s="10">
        <v>33.124000000000002</v>
      </c>
      <c r="J94" s="10">
        <v>88.384799999999998</v>
      </c>
      <c r="K94" s="10">
        <v>13.916700000000001</v>
      </c>
      <c r="L94" s="11">
        <f t="shared" si="10"/>
        <v>4678.3504000000003</v>
      </c>
    </row>
    <row r="95" spans="1:12" x14ac:dyDescent="0.3">
      <c r="A95" s="9" t="s">
        <v>24</v>
      </c>
      <c r="B95" s="5" t="s">
        <v>27</v>
      </c>
      <c r="C95" s="10">
        <v>2416.1410999999998</v>
      </c>
      <c r="D95" s="10">
        <v>171.47049999999999</v>
      </c>
      <c r="E95" s="10">
        <v>65.2928</v>
      </c>
      <c r="F95" s="10">
        <v>35.440800000000003</v>
      </c>
      <c r="G95" s="10">
        <v>12.6371</v>
      </c>
      <c r="H95" s="10">
        <v>1.0873999999999999</v>
      </c>
      <c r="I95" s="10">
        <v>28.129200000000001</v>
      </c>
      <c r="J95" s="10">
        <v>7.2089999999999996</v>
      </c>
      <c r="K95" s="10">
        <v>2.4630999999999998</v>
      </c>
      <c r="L95" s="11">
        <f t="shared" si="10"/>
        <v>2739.8709999999992</v>
      </c>
    </row>
    <row r="96" spans="1:12" x14ac:dyDescent="0.3">
      <c r="A96" s="9" t="s">
        <v>24</v>
      </c>
      <c r="B96" s="5" t="s">
        <v>28</v>
      </c>
      <c r="C96" s="10">
        <v>2288.4227999999998</v>
      </c>
      <c r="D96" s="10">
        <v>211.8691</v>
      </c>
      <c r="E96" s="10">
        <v>0</v>
      </c>
      <c r="F96" s="10">
        <v>0</v>
      </c>
      <c r="G96" s="10">
        <v>14.2182</v>
      </c>
      <c r="H96" s="10">
        <v>2.3742999999999999</v>
      </c>
      <c r="I96" s="10">
        <v>67.512299999999996</v>
      </c>
      <c r="J96" s="10">
        <v>91.557699999999997</v>
      </c>
      <c r="K96" s="10">
        <v>18.643799999999999</v>
      </c>
      <c r="L96" s="11">
        <f t="shared" si="10"/>
        <v>2694.598199999999</v>
      </c>
    </row>
    <row r="97" spans="1:12" x14ac:dyDescent="0.3">
      <c r="A97" s="25" t="s">
        <v>29</v>
      </c>
      <c r="B97" s="25"/>
      <c r="C97" s="11">
        <f t="shared" ref="C97:L97" si="11">SUM(C85:C96)</f>
        <v>31240.199400000005</v>
      </c>
      <c r="D97" s="11">
        <f t="shared" si="11"/>
        <v>1694.2408999999998</v>
      </c>
      <c r="E97" s="11">
        <f t="shared" si="11"/>
        <v>665.00649999999996</v>
      </c>
      <c r="F97" s="11">
        <f t="shared" si="11"/>
        <v>1056.0774000000001</v>
      </c>
      <c r="G97" s="11">
        <f t="shared" si="11"/>
        <v>175.20939999999996</v>
      </c>
      <c r="H97" s="11">
        <f t="shared" si="11"/>
        <v>146.39590000000001</v>
      </c>
      <c r="I97" s="11">
        <f t="shared" si="11"/>
        <v>466.68520000000007</v>
      </c>
      <c r="J97" s="11">
        <f t="shared" si="11"/>
        <v>543.44569999999999</v>
      </c>
      <c r="K97" s="11">
        <f t="shared" si="11"/>
        <v>92.419299999999993</v>
      </c>
      <c r="L97" s="11">
        <f t="shared" si="11"/>
        <v>36079.679700000001</v>
      </c>
    </row>
    <row r="99" spans="1:12" ht="15.6" x14ac:dyDescent="0.3">
      <c r="A99" s="2" t="s">
        <v>35</v>
      </c>
    </row>
    <row r="100" spans="1:12" x14ac:dyDescent="0.3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12</v>
      </c>
      <c r="L100" s="3" t="s">
        <v>13</v>
      </c>
    </row>
    <row r="101" spans="1:12" x14ac:dyDescent="0.3">
      <c r="A101" s="4" t="s">
        <v>14</v>
      </c>
      <c r="B101" s="5" t="s">
        <v>15</v>
      </c>
      <c r="C101" s="10">
        <v>2438.9186</v>
      </c>
      <c r="D101" s="10">
        <v>177.6198</v>
      </c>
      <c r="E101" s="10">
        <v>56.698300000000003</v>
      </c>
      <c r="F101" s="10">
        <v>59.721899999999998</v>
      </c>
      <c r="G101" s="10">
        <v>36.170900000000003</v>
      </c>
      <c r="H101" s="10">
        <v>9.7825000000000006</v>
      </c>
      <c r="I101" s="10">
        <v>120.66379999999999</v>
      </c>
      <c r="J101" s="10">
        <v>54.101199999999999</v>
      </c>
      <c r="K101" s="10">
        <v>8.6076999999999995</v>
      </c>
      <c r="L101" s="11">
        <f t="shared" ref="L101:L112" si="12">SUM(C101:K101)</f>
        <v>2962.2846999999997</v>
      </c>
    </row>
    <row r="102" spans="1:12" x14ac:dyDescent="0.3">
      <c r="A102" s="4" t="s">
        <v>14</v>
      </c>
      <c r="B102" s="5" t="s">
        <v>16</v>
      </c>
      <c r="C102" s="10">
        <v>1991.9648</v>
      </c>
      <c r="D102" s="10">
        <v>350.07440000000003</v>
      </c>
      <c r="E102" s="10">
        <v>159.61170000000001</v>
      </c>
      <c r="F102" s="10">
        <v>315.23390000000001</v>
      </c>
      <c r="G102" s="10">
        <v>67.355699999999999</v>
      </c>
      <c r="H102" s="10">
        <v>49.360100000000003</v>
      </c>
      <c r="I102" s="10">
        <v>37.6952</v>
      </c>
      <c r="J102" s="10">
        <v>146.03120000000001</v>
      </c>
      <c r="K102" s="10">
        <v>16.149999999999999</v>
      </c>
      <c r="L102" s="11">
        <f t="shared" si="12"/>
        <v>3133.4770000000003</v>
      </c>
    </row>
    <row r="103" spans="1:12" x14ac:dyDescent="0.3">
      <c r="A103" s="4" t="s">
        <v>14</v>
      </c>
      <c r="B103" s="5" t="s">
        <v>17</v>
      </c>
      <c r="C103" s="10">
        <v>2438.9186</v>
      </c>
      <c r="D103" s="10">
        <v>177.6198</v>
      </c>
      <c r="E103" s="10">
        <v>56.698300000000003</v>
      </c>
      <c r="F103" s="10">
        <v>59.721899999999998</v>
      </c>
      <c r="G103" s="10">
        <v>36.170900000000003</v>
      </c>
      <c r="H103" s="10">
        <v>9.7825000000000006</v>
      </c>
      <c r="I103" s="10">
        <v>120.66379999999999</v>
      </c>
      <c r="J103" s="10">
        <v>54.101199999999999</v>
      </c>
      <c r="K103" s="10">
        <v>8.6076999999999995</v>
      </c>
      <c r="L103" s="11">
        <f t="shared" si="12"/>
        <v>2962.2846999999997</v>
      </c>
    </row>
    <row r="104" spans="1:12" x14ac:dyDescent="0.3">
      <c r="A104" s="4" t="s">
        <v>14</v>
      </c>
      <c r="B104" s="5" t="s">
        <v>18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1">
        <f t="shared" si="12"/>
        <v>0</v>
      </c>
    </row>
    <row r="105" spans="1:12" x14ac:dyDescent="0.3">
      <c r="A105" s="8" t="s">
        <v>19</v>
      </c>
      <c r="B105" s="5" t="s">
        <v>20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f t="shared" si="12"/>
        <v>0</v>
      </c>
    </row>
    <row r="106" spans="1:12" x14ac:dyDescent="0.3">
      <c r="A106" s="8" t="s">
        <v>19</v>
      </c>
      <c r="B106" s="5" t="s">
        <v>21</v>
      </c>
      <c r="C106" s="10">
        <v>6136.4074000000001</v>
      </c>
      <c r="D106" s="10">
        <v>290.3306</v>
      </c>
      <c r="E106" s="10">
        <v>134.6943</v>
      </c>
      <c r="F106" s="10">
        <v>263.93709999999999</v>
      </c>
      <c r="G106" s="10">
        <v>59.146299999999997</v>
      </c>
      <c r="H106" s="10">
        <v>16.8705</v>
      </c>
      <c r="I106" s="10">
        <v>31.8931</v>
      </c>
      <c r="J106" s="10">
        <v>62.045299999999997</v>
      </c>
      <c r="K106" s="10">
        <v>22.475300000000001</v>
      </c>
      <c r="L106" s="11">
        <f t="shared" si="12"/>
        <v>7017.7999000000009</v>
      </c>
    </row>
    <row r="107" spans="1:12" x14ac:dyDescent="0.3">
      <c r="A107" s="8" t="s">
        <v>19</v>
      </c>
      <c r="B107" s="5" t="s">
        <v>22</v>
      </c>
      <c r="C107" s="10">
        <v>3383.0925999999999</v>
      </c>
      <c r="D107" s="10">
        <v>155.5566</v>
      </c>
      <c r="E107" s="10">
        <v>60.362200000000001</v>
      </c>
      <c r="F107" s="10">
        <v>38.826599999999999</v>
      </c>
      <c r="G107" s="10">
        <v>26.7529</v>
      </c>
      <c r="H107" s="10">
        <v>30.661300000000001</v>
      </c>
      <c r="I107" s="10">
        <v>9.6853999999999996</v>
      </c>
      <c r="J107" s="10">
        <v>98.445499999999996</v>
      </c>
      <c r="K107" s="10">
        <v>5.3846999999999996</v>
      </c>
      <c r="L107" s="11">
        <f t="shared" si="12"/>
        <v>3808.7677999999996</v>
      </c>
    </row>
    <row r="108" spans="1:12" x14ac:dyDescent="0.3">
      <c r="A108" s="8" t="s">
        <v>19</v>
      </c>
      <c r="B108" s="5" t="s">
        <v>23</v>
      </c>
      <c r="C108" s="10">
        <v>4733.2025000000003</v>
      </c>
      <c r="D108" s="10">
        <v>360.86340000000001</v>
      </c>
      <c r="E108" s="10">
        <v>89.525899999999993</v>
      </c>
      <c r="F108" s="10">
        <v>151.50569999999999</v>
      </c>
      <c r="G108" s="10">
        <v>25.726400000000002</v>
      </c>
      <c r="H108" s="10">
        <v>45.840800000000002</v>
      </c>
      <c r="I108" s="10">
        <v>87.063900000000004</v>
      </c>
      <c r="J108" s="10">
        <v>64.422799999999995</v>
      </c>
      <c r="K108" s="10">
        <v>9.8653999999999993</v>
      </c>
      <c r="L108" s="11">
        <f t="shared" si="12"/>
        <v>5568.0167999999994</v>
      </c>
    </row>
    <row r="109" spans="1:12" x14ac:dyDescent="0.3">
      <c r="A109" s="9" t="s">
        <v>24</v>
      </c>
      <c r="B109" s="5" t="s">
        <v>25</v>
      </c>
      <c r="C109" s="10">
        <v>1447.3710000000001</v>
      </c>
      <c r="D109" s="10">
        <v>155.43199999999999</v>
      </c>
      <c r="E109" s="10">
        <v>5.1397000000000004</v>
      </c>
      <c r="F109" s="10">
        <v>28.553799999999999</v>
      </c>
      <c r="G109" s="10">
        <v>23.584599999999998</v>
      </c>
      <c r="H109" s="10">
        <v>43.225999999999999</v>
      </c>
      <c r="I109" s="10">
        <v>110.2042</v>
      </c>
      <c r="J109" s="10">
        <v>25.015599999999999</v>
      </c>
      <c r="K109" s="10">
        <v>5.1558999999999999</v>
      </c>
      <c r="L109" s="11">
        <f t="shared" si="12"/>
        <v>1843.6827999999998</v>
      </c>
    </row>
    <row r="110" spans="1:12" x14ac:dyDescent="0.3">
      <c r="A110" s="9" t="s">
        <v>24</v>
      </c>
      <c r="B110" s="5" t="s">
        <v>26</v>
      </c>
      <c r="C110" s="10">
        <v>4270.9854999999998</v>
      </c>
      <c r="D110" s="10">
        <v>198.9375</v>
      </c>
      <c r="E110" s="10">
        <v>42.476300000000002</v>
      </c>
      <c r="F110" s="10">
        <v>110.15300000000001</v>
      </c>
      <c r="G110" s="10">
        <v>22.517299999999999</v>
      </c>
      <c r="H110" s="10">
        <v>30.1099</v>
      </c>
      <c r="I110" s="10">
        <v>66.032799999999995</v>
      </c>
      <c r="J110" s="10">
        <v>116.414</v>
      </c>
      <c r="K110" s="10">
        <v>18.503699999999998</v>
      </c>
      <c r="L110" s="11">
        <f t="shared" si="12"/>
        <v>4876.130000000001</v>
      </c>
    </row>
    <row r="111" spans="1:12" x14ac:dyDescent="0.3">
      <c r="A111" s="9" t="s">
        <v>24</v>
      </c>
      <c r="B111" s="5" t="s">
        <v>27</v>
      </c>
      <c r="C111" s="10">
        <v>2453.2554</v>
      </c>
      <c r="D111" s="10">
        <v>256.2457</v>
      </c>
      <c r="E111" s="10">
        <v>66.078900000000004</v>
      </c>
      <c r="F111" s="10">
        <v>35.622199999999999</v>
      </c>
      <c r="G111" s="10">
        <v>26.455500000000001</v>
      </c>
      <c r="H111" s="10">
        <v>2.0522</v>
      </c>
      <c r="I111" s="10">
        <v>62.057699999999997</v>
      </c>
      <c r="J111" s="10">
        <v>13.0061</v>
      </c>
      <c r="K111" s="10">
        <v>3.8534999999999999</v>
      </c>
      <c r="L111" s="11">
        <f t="shared" si="12"/>
        <v>2918.6271999999999</v>
      </c>
    </row>
    <row r="112" spans="1:12" x14ac:dyDescent="0.3">
      <c r="A112" s="9" t="s">
        <v>24</v>
      </c>
      <c r="B112" s="5" t="s">
        <v>28</v>
      </c>
      <c r="C112" s="10">
        <v>2312.5536999999999</v>
      </c>
      <c r="D112" s="10">
        <v>272.89800000000002</v>
      </c>
      <c r="E112" s="10">
        <v>0</v>
      </c>
      <c r="F112" s="10">
        <v>0</v>
      </c>
      <c r="G112" s="10">
        <v>29.135100000000001</v>
      </c>
      <c r="H112" s="10">
        <v>4.8346999999999998</v>
      </c>
      <c r="I112" s="10">
        <v>114.7439</v>
      </c>
      <c r="J112" s="10">
        <v>121.5303</v>
      </c>
      <c r="K112" s="10">
        <v>23.0503</v>
      </c>
      <c r="L112" s="11">
        <f t="shared" si="12"/>
        <v>2878.7459999999996</v>
      </c>
    </row>
    <row r="113" spans="1:12" x14ac:dyDescent="0.3">
      <c r="A113" s="25" t="s">
        <v>29</v>
      </c>
      <c r="B113" s="25"/>
      <c r="C113" s="11">
        <f t="shared" ref="C113:L113" si="13">SUM(C101:C112)</f>
        <v>31606.670099999999</v>
      </c>
      <c r="D113" s="11">
        <f t="shared" si="13"/>
        <v>2395.5778</v>
      </c>
      <c r="E113" s="11">
        <f t="shared" si="13"/>
        <v>671.28559999999993</v>
      </c>
      <c r="F113" s="11">
        <f t="shared" si="13"/>
        <v>1063.2761</v>
      </c>
      <c r="G113" s="11">
        <f t="shared" si="13"/>
        <v>353.01560000000001</v>
      </c>
      <c r="H113" s="11">
        <f t="shared" si="13"/>
        <v>242.52050000000003</v>
      </c>
      <c r="I113" s="11">
        <f t="shared" si="13"/>
        <v>760.70379999999977</v>
      </c>
      <c r="J113" s="11">
        <f t="shared" si="13"/>
        <v>755.11320000000001</v>
      </c>
      <c r="K113" s="11">
        <f t="shared" si="13"/>
        <v>121.6542</v>
      </c>
      <c r="L113" s="11">
        <f t="shared" si="13"/>
        <v>37969.816899999998</v>
      </c>
    </row>
  </sheetData>
  <mergeCells count="7">
    <mergeCell ref="A97:B97"/>
    <mergeCell ref="A113:B113"/>
    <mergeCell ref="A17:B17"/>
    <mergeCell ref="A33:B33"/>
    <mergeCell ref="A49:B49"/>
    <mergeCell ref="A65:B65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zoomScaleNormal="100" workbookViewId="0">
      <pane ySplit="2" topLeftCell="A3" activePane="bottomLeft" state="frozen"/>
      <selection pane="bottomLeft" activeCell="C113" sqref="C113:L113"/>
    </sheetView>
  </sheetViews>
  <sheetFormatPr defaultColWidth="8.6640625" defaultRowHeight="14.4" x14ac:dyDescent="0.3"/>
  <cols>
    <col min="1" max="2" width="12" customWidth="1"/>
    <col min="3" max="11" width="10" customWidth="1"/>
    <col min="12" max="12" width="12" customWidth="1"/>
  </cols>
  <sheetData>
    <row r="1" spans="1:12" ht="17.399999999999999" x14ac:dyDescent="0.3">
      <c r="A1" s="1" t="s">
        <v>36</v>
      </c>
    </row>
    <row r="3" spans="1:12" ht="15.6" x14ac:dyDescent="0.3">
      <c r="A3" s="2" t="s">
        <v>1</v>
      </c>
    </row>
    <row r="4" spans="1:1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15</v>
      </c>
      <c r="C5" s="6">
        <v>597</v>
      </c>
      <c r="D5" s="6">
        <v>34</v>
      </c>
      <c r="E5" s="6">
        <v>35</v>
      </c>
      <c r="F5" s="6">
        <v>55</v>
      </c>
      <c r="G5" s="6">
        <v>14</v>
      </c>
      <c r="H5" s="6">
        <v>42</v>
      </c>
      <c r="I5" s="6">
        <v>3</v>
      </c>
      <c r="J5" s="6">
        <v>29</v>
      </c>
      <c r="K5" s="6">
        <v>4</v>
      </c>
      <c r="L5" s="7">
        <f t="shared" ref="L5:L16" si="0">SUM(C5:K5)</f>
        <v>813</v>
      </c>
    </row>
    <row r="6" spans="1:12" x14ac:dyDescent="0.3">
      <c r="A6" s="4" t="s">
        <v>14</v>
      </c>
      <c r="B6" s="5" t="s">
        <v>16</v>
      </c>
      <c r="C6" s="6">
        <v>716</v>
      </c>
      <c r="D6" s="6">
        <v>27</v>
      </c>
      <c r="E6" s="6">
        <v>36</v>
      </c>
      <c r="F6" s="6">
        <v>46</v>
      </c>
      <c r="G6" s="6">
        <v>16</v>
      </c>
      <c r="H6" s="6">
        <v>34</v>
      </c>
      <c r="I6" s="6">
        <v>9</v>
      </c>
      <c r="J6" s="6">
        <v>23</v>
      </c>
      <c r="K6" s="6">
        <v>6</v>
      </c>
      <c r="L6" s="7">
        <f t="shared" si="0"/>
        <v>913</v>
      </c>
    </row>
    <row r="7" spans="1:12" x14ac:dyDescent="0.3">
      <c r="A7" s="4" t="s">
        <v>14</v>
      </c>
      <c r="B7" s="5" t="s">
        <v>17</v>
      </c>
      <c r="C7" s="6">
        <v>709</v>
      </c>
      <c r="D7" s="6">
        <v>20</v>
      </c>
      <c r="E7" s="6">
        <v>19</v>
      </c>
      <c r="F7" s="6">
        <v>31</v>
      </c>
      <c r="G7" s="6">
        <v>10</v>
      </c>
      <c r="H7" s="6">
        <v>21</v>
      </c>
      <c r="I7" s="6">
        <v>8</v>
      </c>
      <c r="J7" s="6">
        <v>9</v>
      </c>
      <c r="K7" s="6">
        <v>4</v>
      </c>
      <c r="L7" s="7">
        <f t="shared" si="0"/>
        <v>831</v>
      </c>
    </row>
    <row r="8" spans="1:12" x14ac:dyDescent="0.3">
      <c r="A8" s="4" t="s">
        <v>14</v>
      </c>
      <c r="B8" s="5" t="s">
        <v>18</v>
      </c>
      <c r="C8" s="6">
        <v>900</v>
      </c>
      <c r="D8" s="6">
        <v>26</v>
      </c>
      <c r="E8" s="6">
        <v>13</v>
      </c>
      <c r="F8" s="6">
        <v>77</v>
      </c>
      <c r="G8" s="6">
        <v>4</v>
      </c>
      <c r="H8" s="6">
        <v>29</v>
      </c>
      <c r="I8" s="6">
        <v>4</v>
      </c>
      <c r="J8" s="6">
        <v>5</v>
      </c>
      <c r="K8" s="6">
        <v>3</v>
      </c>
      <c r="L8" s="7">
        <f t="shared" si="0"/>
        <v>1061</v>
      </c>
    </row>
    <row r="9" spans="1:12" x14ac:dyDescent="0.3">
      <c r="A9" s="8" t="s">
        <v>19</v>
      </c>
      <c r="B9" s="5" t="s">
        <v>20</v>
      </c>
      <c r="C9" s="6">
        <v>531</v>
      </c>
      <c r="D9" s="6">
        <v>13</v>
      </c>
      <c r="E9" s="6">
        <v>5</v>
      </c>
      <c r="F9" s="6">
        <v>22</v>
      </c>
      <c r="G9" s="6">
        <v>6</v>
      </c>
      <c r="H9" s="6">
        <v>18</v>
      </c>
      <c r="I9" s="6">
        <v>2</v>
      </c>
      <c r="J9" s="6">
        <v>1</v>
      </c>
      <c r="K9" s="6">
        <v>2</v>
      </c>
      <c r="L9" s="7">
        <f t="shared" si="0"/>
        <v>600</v>
      </c>
    </row>
    <row r="10" spans="1:12" x14ac:dyDescent="0.3">
      <c r="A10" s="8" t="s">
        <v>19</v>
      </c>
      <c r="B10" s="5" t="s">
        <v>21</v>
      </c>
      <c r="C10" s="6">
        <v>583</v>
      </c>
      <c r="D10" s="6">
        <v>10</v>
      </c>
      <c r="E10" s="6">
        <v>16</v>
      </c>
      <c r="F10" s="6">
        <v>21</v>
      </c>
      <c r="G10" s="6">
        <v>2</v>
      </c>
      <c r="H10" s="6">
        <v>9</v>
      </c>
      <c r="I10" s="6">
        <v>5</v>
      </c>
      <c r="J10" s="6">
        <v>0</v>
      </c>
      <c r="K10" s="6">
        <v>1</v>
      </c>
      <c r="L10" s="7">
        <f t="shared" si="0"/>
        <v>647</v>
      </c>
    </row>
    <row r="11" spans="1:12" x14ac:dyDescent="0.3">
      <c r="A11" s="8" t="s">
        <v>19</v>
      </c>
      <c r="B11" s="5" t="s">
        <v>22</v>
      </c>
      <c r="C11" s="6">
        <v>727</v>
      </c>
      <c r="D11" s="6">
        <v>17</v>
      </c>
      <c r="E11" s="6">
        <v>11</v>
      </c>
      <c r="F11" s="6">
        <v>15</v>
      </c>
      <c r="G11" s="6">
        <v>6</v>
      </c>
      <c r="H11" s="6">
        <v>5</v>
      </c>
      <c r="I11" s="6">
        <v>2</v>
      </c>
      <c r="J11" s="6">
        <v>4</v>
      </c>
      <c r="K11" s="6">
        <v>5</v>
      </c>
      <c r="L11" s="7">
        <f t="shared" si="0"/>
        <v>792</v>
      </c>
    </row>
    <row r="12" spans="1:12" x14ac:dyDescent="0.3">
      <c r="A12" s="8" t="s">
        <v>19</v>
      </c>
      <c r="B12" s="5" t="s">
        <v>23</v>
      </c>
      <c r="C12" s="6">
        <v>720</v>
      </c>
      <c r="D12" s="6">
        <v>7</v>
      </c>
      <c r="E12" s="6">
        <v>8</v>
      </c>
      <c r="F12" s="6">
        <v>26</v>
      </c>
      <c r="G12" s="6">
        <v>3</v>
      </c>
      <c r="H12" s="6">
        <v>10</v>
      </c>
      <c r="I12" s="6">
        <v>8</v>
      </c>
      <c r="J12" s="6">
        <v>0</v>
      </c>
      <c r="K12" s="6">
        <v>1</v>
      </c>
      <c r="L12" s="7">
        <f t="shared" si="0"/>
        <v>783</v>
      </c>
    </row>
    <row r="13" spans="1:12" x14ac:dyDescent="0.3">
      <c r="A13" s="9" t="s">
        <v>24</v>
      </c>
      <c r="B13" s="5" t="s">
        <v>25</v>
      </c>
      <c r="C13" s="6">
        <v>702</v>
      </c>
      <c r="D13" s="6">
        <v>13</v>
      </c>
      <c r="E13" s="6">
        <v>13</v>
      </c>
      <c r="F13" s="6">
        <v>19</v>
      </c>
      <c r="G13" s="6">
        <v>7</v>
      </c>
      <c r="H13" s="6">
        <v>18</v>
      </c>
      <c r="I13" s="6">
        <v>5</v>
      </c>
      <c r="J13" s="6">
        <v>7</v>
      </c>
      <c r="K13" s="6">
        <v>4</v>
      </c>
      <c r="L13" s="7">
        <f t="shared" si="0"/>
        <v>788</v>
      </c>
    </row>
    <row r="14" spans="1:12" x14ac:dyDescent="0.3">
      <c r="A14" s="9" t="s">
        <v>24</v>
      </c>
      <c r="B14" s="5" t="s">
        <v>26</v>
      </c>
      <c r="C14" s="6">
        <v>839</v>
      </c>
      <c r="D14" s="6">
        <v>24</v>
      </c>
      <c r="E14" s="6">
        <v>22</v>
      </c>
      <c r="F14" s="6">
        <v>20</v>
      </c>
      <c r="G14" s="6">
        <v>4</v>
      </c>
      <c r="H14" s="6">
        <v>9</v>
      </c>
      <c r="I14" s="6">
        <v>8</v>
      </c>
      <c r="J14" s="6">
        <v>7</v>
      </c>
      <c r="K14" s="6">
        <v>1</v>
      </c>
      <c r="L14" s="7">
        <f t="shared" si="0"/>
        <v>934</v>
      </c>
    </row>
    <row r="15" spans="1:12" x14ac:dyDescent="0.3">
      <c r="A15" s="9" t="s">
        <v>24</v>
      </c>
      <c r="B15" s="5" t="s">
        <v>27</v>
      </c>
      <c r="C15" s="6">
        <v>530</v>
      </c>
      <c r="D15" s="6">
        <v>26</v>
      </c>
      <c r="E15" s="6">
        <v>17</v>
      </c>
      <c r="F15" s="6">
        <v>11</v>
      </c>
      <c r="G15" s="6">
        <v>1</v>
      </c>
      <c r="H15" s="6">
        <v>8</v>
      </c>
      <c r="I15" s="6">
        <v>6</v>
      </c>
      <c r="J15" s="6">
        <v>2</v>
      </c>
      <c r="K15" s="6">
        <v>2</v>
      </c>
      <c r="L15" s="7">
        <f t="shared" si="0"/>
        <v>603</v>
      </c>
    </row>
    <row r="16" spans="1:12" x14ac:dyDescent="0.3">
      <c r="A16" s="9" t="s">
        <v>24</v>
      </c>
      <c r="B16" s="5" t="s">
        <v>28</v>
      </c>
      <c r="C16" s="6">
        <v>233</v>
      </c>
      <c r="D16" s="6">
        <v>9</v>
      </c>
      <c r="E16" s="6">
        <v>5</v>
      </c>
      <c r="F16" s="6">
        <v>2</v>
      </c>
      <c r="G16" s="6">
        <v>3</v>
      </c>
      <c r="H16" s="6">
        <v>3</v>
      </c>
      <c r="I16" s="6">
        <v>0</v>
      </c>
      <c r="J16" s="6">
        <v>1</v>
      </c>
      <c r="K16" s="6">
        <v>1</v>
      </c>
      <c r="L16" s="7">
        <f t="shared" si="0"/>
        <v>257</v>
      </c>
    </row>
    <row r="17" spans="1:12" x14ac:dyDescent="0.3">
      <c r="A17" s="25" t="s">
        <v>29</v>
      </c>
      <c r="B17" s="25"/>
      <c r="C17" s="7">
        <f t="shared" ref="C17:L17" si="1">SUM(C5:C16)</f>
        <v>7787</v>
      </c>
      <c r="D17" s="7">
        <f t="shared" si="1"/>
        <v>226</v>
      </c>
      <c r="E17" s="7">
        <f t="shared" si="1"/>
        <v>200</v>
      </c>
      <c r="F17" s="7">
        <f t="shared" si="1"/>
        <v>345</v>
      </c>
      <c r="G17" s="7">
        <f t="shared" si="1"/>
        <v>76</v>
      </c>
      <c r="H17" s="7">
        <f t="shared" si="1"/>
        <v>206</v>
      </c>
      <c r="I17" s="7">
        <f t="shared" si="1"/>
        <v>60</v>
      </c>
      <c r="J17" s="7">
        <f t="shared" si="1"/>
        <v>88</v>
      </c>
      <c r="K17" s="7">
        <f t="shared" si="1"/>
        <v>34</v>
      </c>
      <c r="L17" s="7">
        <f t="shared" si="1"/>
        <v>9022</v>
      </c>
    </row>
    <row r="19" spans="1:12" ht="15.6" x14ac:dyDescent="0.3">
      <c r="A19" s="2" t="s">
        <v>30</v>
      </c>
    </row>
    <row r="20" spans="1:12" x14ac:dyDescent="0.3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</row>
    <row r="21" spans="1:12" x14ac:dyDescent="0.3">
      <c r="A21" s="4" t="s">
        <v>14</v>
      </c>
      <c r="B21" s="5" t="s">
        <v>15</v>
      </c>
      <c r="C21" s="10">
        <v>21.993600000000001</v>
      </c>
      <c r="D21" s="10">
        <v>15.030799999999999</v>
      </c>
      <c r="E21" s="10">
        <v>1.2894000000000001</v>
      </c>
      <c r="F21" s="10">
        <v>2.0261999999999998</v>
      </c>
      <c r="G21" s="10">
        <v>1.5472999999999999</v>
      </c>
      <c r="H21" s="10">
        <v>3.0945999999999998</v>
      </c>
      <c r="I21" s="10">
        <v>0.221</v>
      </c>
      <c r="J21" s="10">
        <v>6.4101999999999997</v>
      </c>
      <c r="K21" s="10">
        <v>0.73680000000000001</v>
      </c>
      <c r="L21" s="11">
        <f t="shared" ref="L21:L32" si="2">SUM(C21:K21)</f>
        <v>52.349900000000005</v>
      </c>
    </row>
    <row r="22" spans="1:12" x14ac:dyDescent="0.3">
      <c r="A22" s="4" t="s">
        <v>14</v>
      </c>
      <c r="B22" s="5" t="s">
        <v>16</v>
      </c>
      <c r="C22" s="10">
        <v>30.505800000000001</v>
      </c>
      <c r="D22" s="10">
        <v>13.8043</v>
      </c>
      <c r="E22" s="10">
        <v>1.5338000000000001</v>
      </c>
      <c r="F22" s="10">
        <v>1.9599</v>
      </c>
      <c r="G22" s="10">
        <v>2.0451000000000001</v>
      </c>
      <c r="H22" s="10">
        <v>2.8972000000000002</v>
      </c>
      <c r="I22" s="10">
        <v>0.76690000000000003</v>
      </c>
      <c r="J22" s="10">
        <v>5.8795999999999999</v>
      </c>
      <c r="K22" s="10">
        <v>1.2782</v>
      </c>
      <c r="L22" s="11">
        <f t="shared" si="2"/>
        <v>60.670799999999986</v>
      </c>
    </row>
    <row r="23" spans="1:12" x14ac:dyDescent="0.3">
      <c r="A23" s="4" t="s">
        <v>14</v>
      </c>
      <c r="B23" s="5" t="s">
        <v>17</v>
      </c>
      <c r="C23" s="10">
        <v>27.2804</v>
      </c>
      <c r="D23" s="10">
        <v>9.2345000000000006</v>
      </c>
      <c r="E23" s="10">
        <v>0.73109999999999997</v>
      </c>
      <c r="F23" s="10">
        <v>1.1928000000000001</v>
      </c>
      <c r="G23" s="10">
        <v>1.1543000000000001</v>
      </c>
      <c r="H23" s="10">
        <v>1.6160000000000001</v>
      </c>
      <c r="I23" s="10">
        <v>0.61560000000000004</v>
      </c>
      <c r="J23" s="10">
        <v>2.0777999999999999</v>
      </c>
      <c r="K23" s="10">
        <v>0.76949999999999996</v>
      </c>
      <c r="L23" s="11">
        <f t="shared" si="2"/>
        <v>44.67199999999999</v>
      </c>
    </row>
    <row r="24" spans="1:12" x14ac:dyDescent="0.3">
      <c r="A24" s="4" t="s">
        <v>14</v>
      </c>
      <c r="B24" s="5" t="s">
        <v>18</v>
      </c>
      <c r="C24" s="10">
        <v>31.756499999999999</v>
      </c>
      <c r="D24" s="10">
        <v>11.008900000000001</v>
      </c>
      <c r="E24" s="10">
        <v>0.4587</v>
      </c>
      <c r="F24" s="10">
        <v>2.7168999999999999</v>
      </c>
      <c r="G24" s="10">
        <v>0.4234</v>
      </c>
      <c r="H24" s="10">
        <v>2.0465</v>
      </c>
      <c r="I24" s="10">
        <v>0.2823</v>
      </c>
      <c r="J24" s="10">
        <v>1.0586</v>
      </c>
      <c r="K24" s="10">
        <v>0.52929999999999999</v>
      </c>
      <c r="L24" s="11">
        <f t="shared" si="2"/>
        <v>50.281100000000002</v>
      </c>
    </row>
    <row r="25" spans="1:12" x14ac:dyDescent="0.3">
      <c r="A25" s="8" t="s">
        <v>19</v>
      </c>
      <c r="B25" s="5" t="s">
        <v>20</v>
      </c>
      <c r="C25" s="10">
        <v>20.7803</v>
      </c>
      <c r="D25" s="10">
        <v>6.1050000000000004</v>
      </c>
      <c r="E25" s="10">
        <v>0.19570000000000001</v>
      </c>
      <c r="F25" s="10">
        <v>0.86099999999999999</v>
      </c>
      <c r="G25" s="10">
        <v>0.70440000000000003</v>
      </c>
      <c r="H25" s="10">
        <v>1.4088000000000001</v>
      </c>
      <c r="I25" s="10">
        <v>0.1565</v>
      </c>
      <c r="J25" s="10">
        <v>0.23480000000000001</v>
      </c>
      <c r="K25" s="10">
        <v>0.39129999999999998</v>
      </c>
      <c r="L25" s="11">
        <f t="shared" si="2"/>
        <v>30.837800000000001</v>
      </c>
    </row>
    <row r="26" spans="1:12" x14ac:dyDescent="0.3">
      <c r="A26" s="8" t="s">
        <v>19</v>
      </c>
      <c r="B26" s="5" t="s">
        <v>21</v>
      </c>
      <c r="C26" s="10">
        <v>28.324100000000001</v>
      </c>
      <c r="D26" s="10">
        <v>5.83</v>
      </c>
      <c r="E26" s="10">
        <v>0.77729999999999999</v>
      </c>
      <c r="F26" s="10">
        <v>1.0202</v>
      </c>
      <c r="G26" s="10">
        <v>0.29149999999999998</v>
      </c>
      <c r="H26" s="10">
        <v>0.87450000000000006</v>
      </c>
      <c r="I26" s="10">
        <v>0.48580000000000001</v>
      </c>
      <c r="J26" s="10">
        <v>0</v>
      </c>
      <c r="K26" s="10">
        <v>0.2429</v>
      </c>
      <c r="L26" s="11">
        <f t="shared" si="2"/>
        <v>37.846299999999992</v>
      </c>
    </row>
    <row r="27" spans="1:12" x14ac:dyDescent="0.3">
      <c r="A27" s="8" t="s">
        <v>19</v>
      </c>
      <c r="B27" s="5" t="s">
        <v>22</v>
      </c>
      <c r="C27" s="10">
        <v>35.180900000000001</v>
      </c>
      <c r="D27" s="10">
        <v>9.8719000000000001</v>
      </c>
      <c r="E27" s="10">
        <v>0.5323</v>
      </c>
      <c r="F27" s="10">
        <v>0.72589999999999999</v>
      </c>
      <c r="G27" s="10">
        <v>0.87109999999999999</v>
      </c>
      <c r="H27" s="10">
        <v>0.4839</v>
      </c>
      <c r="I27" s="10">
        <v>0.19359999999999999</v>
      </c>
      <c r="J27" s="10">
        <v>1.1614</v>
      </c>
      <c r="K27" s="10">
        <v>1.2098</v>
      </c>
      <c r="L27" s="11">
        <f t="shared" si="2"/>
        <v>50.230800000000002</v>
      </c>
    </row>
    <row r="28" spans="1:12" x14ac:dyDescent="0.3">
      <c r="A28" s="8" t="s">
        <v>19</v>
      </c>
      <c r="B28" s="5" t="s">
        <v>23</v>
      </c>
      <c r="C28" s="10">
        <v>35.233499999999999</v>
      </c>
      <c r="D28" s="10">
        <v>4.1105999999999998</v>
      </c>
      <c r="E28" s="10">
        <v>0.39150000000000001</v>
      </c>
      <c r="F28" s="10">
        <v>1.2723</v>
      </c>
      <c r="G28" s="10">
        <v>0.44040000000000001</v>
      </c>
      <c r="H28" s="10">
        <v>0.97870000000000001</v>
      </c>
      <c r="I28" s="10">
        <v>0.78300000000000003</v>
      </c>
      <c r="J28" s="10">
        <v>0</v>
      </c>
      <c r="K28" s="10">
        <v>0.2447</v>
      </c>
      <c r="L28" s="11">
        <f t="shared" si="2"/>
        <v>43.454700000000003</v>
      </c>
    </row>
    <row r="29" spans="1:12" x14ac:dyDescent="0.3">
      <c r="A29" s="9" t="s">
        <v>24</v>
      </c>
      <c r="B29" s="5" t="s">
        <v>25</v>
      </c>
      <c r="C29" s="10">
        <v>27.7056</v>
      </c>
      <c r="D29" s="10">
        <v>6.1567999999999996</v>
      </c>
      <c r="E29" s="10">
        <v>0.5131</v>
      </c>
      <c r="F29" s="10">
        <v>0.74990000000000001</v>
      </c>
      <c r="G29" s="10">
        <v>0.82879999999999998</v>
      </c>
      <c r="H29" s="10">
        <v>1.4208000000000001</v>
      </c>
      <c r="I29" s="10">
        <v>0.3947</v>
      </c>
      <c r="J29" s="10">
        <v>1.6576</v>
      </c>
      <c r="K29" s="10">
        <v>0.7893</v>
      </c>
      <c r="L29" s="11">
        <f t="shared" si="2"/>
        <v>40.2166</v>
      </c>
    </row>
    <row r="30" spans="1:12" x14ac:dyDescent="0.3">
      <c r="A30" s="9" t="s">
        <v>24</v>
      </c>
      <c r="B30" s="5" t="s">
        <v>26</v>
      </c>
      <c r="C30" s="10">
        <v>45.805399999999999</v>
      </c>
      <c r="D30" s="10">
        <v>15.7234</v>
      </c>
      <c r="E30" s="10">
        <v>1.2011000000000001</v>
      </c>
      <c r="F30" s="10">
        <v>1.0919000000000001</v>
      </c>
      <c r="G30" s="10">
        <v>0.65510000000000002</v>
      </c>
      <c r="H30" s="10">
        <v>0.98270000000000002</v>
      </c>
      <c r="I30" s="10">
        <v>0.87350000000000005</v>
      </c>
      <c r="J30" s="10">
        <v>2.2930000000000001</v>
      </c>
      <c r="K30" s="10">
        <v>0.27300000000000002</v>
      </c>
      <c r="L30" s="11">
        <f t="shared" si="2"/>
        <v>68.899100000000004</v>
      </c>
    </row>
    <row r="31" spans="1:12" x14ac:dyDescent="0.3">
      <c r="A31" s="9" t="s">
        <v>24</v>
      </c>
      <c r="B31" s="5" t="s">
        <v>27</v>
      </c>
      <c r="C31" s="10">
        <v>25.345099999999999</v>
      </c>
      <c r="D31" s="10">
        <v>14.9201</v>
      </c>
      <c r="E31" s="10">
        <v>0.81299999999999994</v>
      </c>
      <c r="F31" s="10">
        <v>0.52600000000000002</v>
      </c>
      <c r="G31" s="10">
        <v>0.14349999999999999</v>
      </c>
      <c r="H31" s="10">
        <v>0.7651</v>
      </c>
      <c r="I31" s="10">
        <v>0.57389999999999997</v>
      </c>
      <c r="J31" s="10">
        <v>0.57389999999999997</v>
      </c>
      <c r="K31" s="10">
        <v>0.47820000000000001</v>
      </c>
      <c r="L31" s="11">
        <f t="shared" si="2"/>
        <v>44.13880000000001</v>
      </c>
    </row>
    <row r="32" spans="1:12" x14ac:dyDescent="0.3">
      <c r="A32" s="9" t="s">
        <v>24</v>
      </c>
      <c r="B32" s="5" t="s">
        <v>28</v>
      </c>
      <c r="C32" s="10">
        <v>12.786199999999999</v>
      </c>
      <c r="D32" s="10">
        <v>5.9265999999999996</v>
      </c>
      <c r="E32" s="10">
        <v>0.27439999999999998</v>
      </c>
      <c r="F32" s="10">
        <v>0.10979999999999999</v>
      </c>
      <c r="G32" s="10">
        <v>0.49390000000000001</v>
      </c>
      <c r="H32" s="10">
        <v>0.32929999999999998</v>
      </c>
      <c r="I32" s="10">
        <v>0</v>
      </c>
      <c r="J32" s="10">
        <v>0.32929999999999998</v>
      </c>
      <c r="K32" s="10">
        <v>0.27439999999999998</v>
      </c>
      <c r="L32" s="11">
        <f t="shared" si="2"/>
        <v>20.523899999999998</v>
      </c>
    </row>
    <row r="33" spans="1:12" x14ac:dyDescent="0.3">
      <c r="A33" s="25" t="s">
        <v>29</v>
      </c>
      <c r="B33" s="25"/>
      <c r="C33" s="11">
        <f t="shared" ref="C33:L33" si="3">SUM(C21:C32)</f>
        <v>342.69740000000002</v>
      </c>
      <c r="D33" s="11">
        <f t="shared" si="3"/>
        <v>117.7229</v>
      </c>
      <c r="E33" s="11">
        <f t="shared" si="3"/>
        <v>8.7114000000000011</v>
      </c>
      <c r="F33" s="11">
        <f t="shared" si="3"/>
        <v>14.252800000000001</v>
      </c>
      <c r="G33" s="11">
        <f t="shared" si="3"/>
        <v>9.5988000000000007</v>
      </c>
      <c r="H33" s="11">
        <f t="shared" si="3"/>
        <v>16.898099999999996</v>
      </c>
      <c r="I33" s="11">
        <f t="shared" si="3"/>
        <v>5.3468</v>
      </c>
      <c r="J33" s="11">
        <f t="shared" si="3"/>
        <v>21.676199999999994</v>
      </c>
      <c r="K33" s="11">
        <f t="shared" si="3"/>
        <v>7.2173999999999996</v>
      </c>
      <c r="L33" s="11">
        <f t="shared" si="3"/>
        <v>544.12180000000001</v>
      </c>
    </row>
    <row r="35" spans="1:12" ht="15.6" x14ac:dyDescent="0.3">
      <c r="A35" s="2" t="s">
        <v>31</v>
      </c>
    </row>
    <row r="36" spans="1:1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  <c r="L36" s="3" t="s">
        <v>13</v>
      </c>
    </row>
    <row r="37" spans="1:12" x14ac:dyDescent="0.3">
      <c r="A37" s="4" t="s">
        <v>14</v>
      </c>
      <c r="B37" s="5" t="s">
        <v>15</v>
      </c>
      <c r="C37" s="10">
        <v>0</v>
      </c>
      <c r="D37" s="10">
        <v>34.752699999999997</v>
      </c>
      <c r="E37" s="10">
        <v>0</v>
      </c>
      <c r="F37" s="10">
        <v>0</v>
      </c>
      <c r="G37" s="10">
        <v>10.304</v>
      </c>
      <c r="H37" s="10">
        <v>10.8695</v>
      </c>
      <c r="I37" s="10">
        <v>3.58</v>
      </c>
      <c r="J37" s="10">
        <v>32.119700000000002</v>
      </c>
      <c r="K37" s="10">
        <v>2.5999999999999999E-3</v>
      </c>
      <c r="L37" s="11">
        <f t="shared" ref="L37:L48" si="4">SUM(C37:K37)</f>
        <v>91.628500000000003</v>
      </c>
    </row>
    <row r="38" spans="1:12" x14ac:dyDescent="0.3">
      <c r="A38" s="4" t="s">
        <v>14</v>
      </c>
      <c r="B38" s="5" t="s">
        <v>16</v>
      </c>
      <c r="C38" s="10">
        <v>0</v>
      </c>
      <c r="D38" s="10">
        <v>7.7755000000000001</v>
      </c>
      <c r="E38" s="10">
        <v>0</v>
      </c>
      <c r="F38" s="10">
        <v>0</v>
      </c>
      <c r="G38" s="10">
        <v>3.3178000000000001</v>
      </c>
      <c r="H38" s="10">
        <v>2.4790999999999999</v>
      </c>
      <c r="I38" s="10">
        <v>3.0259</v>
      </c>
      <c r="J38" s="10">
        <v>7.1772</v>
      </c>
      <c r="K38" s="10">
        <v>1.1000000000000001E-3</v>
      </c>
      <c r="L38" s="11">
        <f t="shared" si="4"/>
        <v>23.776599999999998</v>
      </c>
    </row>
    <row r="39" spans="1:12" x14ac:dyDescent="0.3">
      <c r="A39" s="4" t="s">
        <v>14</v>
      </c>
      <c r="B39" s="5" t="s">
        <v>17</v>
      </c>
      <c r="C39" s="10">
        <v>0</v>
      </c>
      <c r="D39" s="10">
        <v>5.2061999999999999</v>
      </c>
      <c r="E39" s="10">
        <v>0</v>
      </c>
      <c r="F39" s="10">
        <v>0</v>
      </c>
      <c r="G39" s="10">
        <v>1.8744000000000001</v>
      </c>
      <c r="H39" s="10">
        <v>1.3841000000000001</v>
      </c>
      <c r="I39" s="10">
        <v>2.4312</v>
      </c>
      <c r="J39" s="10">
        <v>2.5386000000000002</v>
      </c>
      <c r="K39" s="10">
        <v>6.9999999999999999E-4</v>
      </c>
      <c r="L39" s="11">
        <f t="shared" si="4"/>
        <v>13.435200000000002</v>
      </c>
    </row>
    <row r="40" spans="1:12" x14ac:dyDescent="0.3">
      <c r="A40" s="4" t="s">
        <v>14</v>
      </c>
      <c r="B40" s="5" t="s">
        <v>18</v>
      </c>
      <c r="C40" s="10">
        <v>0</v>
      </c>
      <c r="D40" s="10">
        <v>20.195799999999998</v>
      </c>
      <c r="E40" s="10">
        <v>0</v>
      </c>
      <c r="F40" s="10">
        <v>0</v>
      </c>
      <c r="G40" s="10">
        <v>2.2372999999999998</v>
      </c>
      <c r="H40" s="10">
        <v>5.7034000000000002</v>
      </c>
      <c r="I40" s="10">
        <v>3.6274000000000002</v>
      </c>
      <c r="J40" s="10">
        <v>4.2084000000000001</v>
      </c>
      <c r="K40" s="10">
        <v>1.5E-3</v>
      </c>
      <c r="L40" s="11">
        <f t="shared" si="4"/>
        <v>35.973799999999997</v>
      </c>
    </row>
    <row r="41" spans="1:12" x14ac:dyDescent="0.3">
      <c r="A41" s="8" t="s">
        <v>19</v>
      </c>
      <c r="B41" s="5" t="s">
        <v>20</v>
      </c>
      <c r="C41" s="10">
        <v>0</v>
      </c>
      <c r="D41" s="10">
        <v>63.7273</v>
      </c>
      <c r="E41" s="10">
        <v>0</v>
      </c>
      <c r="F41" s="10">
        <v>0</v>
      </c>
      <c r="G41" s="10">
        <v>21.178899999999999</v>
      </c>
      <c r="H41" s="10">
        <v>22.341100000000001</v>
      </c>
      <c r="I41" s="10">
        <v>11.446199999999999</v>
      </c>
      <c r="J41" s="10">
        <v>5.3117999999999999</v>
      </c>
      <c r="K41" s="10">
        <v>6.3E-3</v>
      </c>
      <c r="L41" s="11">
        <f t="shared" si="4"/>
        <v>124.0116</v>
      </c>
    </row>
    <row r="42" spans="1:12" x14ac:dyDescent="0.3">
      <c r="A42" s="8" t="s">
        <v>19</v>
      </c>
      <c r="B42" s="5" t="s">
        <v>21</v>
      </c>
      <c r="C42" s="10">
        <v>0</v>
      </c>
      <c r="D42" s="10">
        <v>70.706999999999994</v>
      </c>
      <c r="E42" s="10">
        <v>0</v>
      </c>
      <c r="F42" s="10">
        <v>0</v>
      </c>
      <c r="G42" s="10">
        <v>10.182700000000001</v>
      </c>
      <c r="H42" s="10">
        <v>16.112200000000001</v>
      </c>
      <c r="I42" s="10">
        <v>41.2744</v>
      </c>
      <c r="J42" s="10">
        <v>0</v>
      </c>
      <c r="K42" s="10">
        <v>4.4999999999999997E-3</v>
      </c>
      <c r="L42" s="11">
        <f t="shared" si="4"/>
        <v>138.2808</v>
      </c>
    </row>
    <row r="43" spans="1:12" x14ac:dyDescent="0.3">
      <c r="A43" s="8" t="s">
        <v>19</v>
      </c>
      <c r="B43" s="5" t="s">
        <v>22</v>
      </c>
      <c r="C43" s="10">
        <v>0</v>
      </c>
      <c r="D43" s="10">
        <v>27.152899999999999</v>
      </c>
      <c r="E43" s="10">
        <v>0</v>
      </c>
      <c r="F43" s="10">
        <v>0</v>
      </c>
      <c r="G43" s="10">
        <v>6.9005999999999998</v>
      </c>
      <c r="H43" s="10">
        <v>2.0219999999999998</v>
      </c>
      <c r="I43" s="10">
        <v>3.7294999999999998</v>
      </c>
      <c r="J43" s="10">
        <v>6.9229000000000003</v>
      </c>
      <c r="K43" s="10">
        <v>5.1000000000000004E-3</v>
      </c>
      <c r="L43" s="11">
        <f t="shared" si="4"/>
        <v>46.732999999999997</v>
      </c>
    </row>
    <row r="44" spans="1:12" x14ac:dyDescent="0.3">
      <c r="A44" s="8" t="s">
        <v>19</v>
      </c>
      <c r="B44" s="5" t="s">
        <v>23</v>
      </c>
      <c r="C44" s="10">
        <v>0</v>
      </c>
      <c r="D44" s="10">
        <v>36.618600000000001</v>
      </c>
      <c r="E44" s="10">
        <v>0</v>
      </c>
      <c r="F44" s="10">
        <v>0</v>
      </c>
      <c r="G44" s="10">
        <v>11.3004</v>
      </c>
      <c r="H44" s="10">
        <v>13.244999999999999</v>
      </c>
      <c r="I44" s="10">
        <v>48.858699999999999</v>
      </c>
      <c r="J44" s="10">
        <v>0</v>
      </c>
      <c r="K44" s="10">
        <v>3.3999999999999998E-3</v>
      </c>
      <c r="L44" s="11">
        <f t="shared" si="4"/>
        <v>110.02609999999999</v>
      </c>
    </row>
    <row r="45" spans="1:12" x14ac:dyDescent="0.3">
      <c r="A45" s="9" t="s">
        <v>24</v>
      </c>
      <c r="B45" s="5" t="s">
        <v>25</v>
      </c>
      <c r="C45" s="10">
        <v>0</v>
      </c>
      <c r="D45" s="10">
        <v>33.665100000000002</v>
      </c>
      <c r="E45" s="10">
        <v>0</v>
      </c>
      <c r="F45" s="10">
        <v>0</v>
      </c>
      <c r="G45" s="10">
        <v>13.0528</v>
      </c>
      <c r="H45" s="10">
        <v>11.802099999999999</v>
      </c>
      <c r="I45" s="10">
        <v>15.1166</v>
      </c>
      <c r="J45" s="10">
        <v>19.642600000000002</v>
      </c>
      <c r="K45" s="10">
        <v>6.6E-3</v>
      </c>
      <c r="L45" s="11">
        <f t="shared" si="4"/>
        <v>93.285800000000009</v>
      </c>
    </row>
    <row r="46" spans="1:12" x14ac:dyDescent="0.3">
      <c r="A46" s="9" t="s">
        <v>24</v>
      </c>
      <c r="B46" s="5" t="s">
        <v>26</v>
      </c>
      <c r="C46" s="10">
        <v>0</v>
      </c>
      <c r="D46" s="10">
        <v>6.3616000000000001</v>
      </c>
      <c r="E46" s="10">
        <v>0</v>
      </c>
      <c r="F46" s="10">
        <v>0</v>
      </c>
      <c r="G46" s="10">
        <v>0.76349999999999996</v>
      </c>
      <c r="H46" s="10">
        <v>0.60399999999999998</v>
      </c>
      <c r="I46" s="10">
        <v>2.4756999999999998</v>
      </c>
      <c r="J46" s="10">
        <v>2.0106000000000002</v>
      </c>
      <c r="K46" s="10">
        <v>2.0000000000000001E-4</v>
      </c>
      <c r="L46" s="11">
        <f t="shared" si="4"/>
        <v>12.215599999999998</v>
      </c>
    </row>
    <row r="47" spans="1:12" x14ac:dyDescent="0.3">
      <c r="A47" s="9" t="s">
        <v>24</v>
      </c>
      <c r="B47" s="5" t="s">
        <v>27</v>
      </c>
      <c r="C47" s="10">
        <v>0</v>
      </c>
      <c r="D47" s="10">
        <v>67.500500000000002</v>
      </c>
      <c r="E47" s="10">
        <v>0</v>
      </c>
      <c r="F47" s="10">
        <v>0</v>
      </c>
      <c r="G47" s="10">
        <v>1.8694</v>
      </c>
      <c r="H47" s="10">
        <v>5.2586000000000004</v>
      </c>
      <c r="I47" s="10">
        <v>18.1858</v>
      </c>
      <c r="J47" s="10">
        <v>5.6264000000000003</v>
      </c>
      <c r="K47" s="10">
        <v>3.3E-3</v>
      </c>
      <c r="L47" s="11">
        <f t="shared" si="4"/>
        <v>98.444000000000003</v>
      </c>
    </row>
    <row r="48" spans="1:12" x14ac:dyDescent="0.3">
      <c r="A48" s="9" t="s">
        <v>24</v>
      </c>
      <c r="B48" s="5" t="s">
        <v>28</v>
      </c>
      <c r="C48" s="10">
        <v>0</v>
      </c>
      <c r="D48" s="10">
        <v>22.121099999999998</v>
      </c>
      <c r="E48" s="10">
        <v>0</v>
      </c>
      <c r="F48" s="10">
        <v>0</v>
      </c>
      <c r="G48" s="10">
        <v>5.3094999999999999</v>
      </c>
      <c r="H48" s="10">
        <v>1.867</v>
      </c>
      <c r="I48" s="10">
        <v>0</v>
      </c>
      <c r="J48" s="10">
        <v>2.6633</v>
      </c>
      <c r="K48" s="10">
        <v>1.6000000000000001E-3</v>
      </c>
      <c r="L48" s="11">
        <f t="shared" si="4"/>
        <v>31.962499999999999</v>
      </c>
    </row>
    <row r="49" spans="1:12" x14ac:dyDescent="0.3">
      <c r="A49" s="25" t="s">
        <v>29</v>
      </c>
      <c r="B49" s="25"/>
      <c r="C49" s="11">
        <f t="shared" ref="C49:L49" si="5">SUM(C37:C48)</f>
        <v>0</v>
      </c>
      <c r="D49" s="11">
        <f t="shared" si="5"/>
        <v>395.78429999999997</v>
      </c>
      <c r="E49" s="11">
        <f t="shared" si="5"/>
        <v>0</v>
      </c>
      <c r="F49" s="11">
        <f t="shared" si="5"/>
        <v>0</v>
      </c>
      <c r="G49" s="11">
        <f t="shared" si="5"/>
        <v>88.291299999999993</v>
      </c>
      <c r="H49" s="11">
        <f t="shared" si="5"/>
        <v>93.688100000000006</v>
      </c>
      <c r="I49" s="11">
        <f t="shared" si="5"/>
        <v>153.75139999999999</v>
      </c>
      <c r="J49" s="11">
        <f t="shared" si="5"/>
        <v>88.221500000000006</v>
      </c>
      <c r="K49" s="11">
        <f t="shared" si="5"/>
        <v>3.6899999999999995E-2</v>
      </c>
      <c r="L49" s="11">
        <f t="shared" si="5"/>
        <v>819.7734999999999</v>
      </c>
    </row>
    <row r="51" spans="1:12" ht="15.6" x14ac:dyDescent="0.3">
      <c r="A51" s="2" t="s">
        <v>32</v>
      </c>
    </row>
    <row r="52" spans="1:12" x14ac:dyDescent="0.3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</row>
    <row r="53" spans="1:12" x14ac:dyDescent="0.3">
      <c r="A53" s="4" t="s">
        <v>14</v>
      </c>
      <c r="B53" s="5" t="s">
        <v>15</v>
      </c>
      <c r="C53" s="10">
        <v>3.4009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f t="shared" ref="L53:L64" si="6">SUM(C53:K53)</f>
        <v>3.4009</v>
      </c>
    </row>
    <row r="54" spans="1:12" x14ac:dyDescent="0.3">
      <c r="A54" s="4" t="s">
        <v>14</v>
      </c>
      <c r="B54" s="5" t="s">
        <v>16</v>
      </c>
      <c r="C54" s="10">
        <v>1.1492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f t="shared" si="6"/>
        <v>1.1492</v>
      </c>
    </row>
    <row r="55" spans="1:12" x14ac:dyDescent="0.3">
      <c r="A55" s="4" t="s">
        <v>14</v>
      </c>
      <c r="B55" s="5" t="s">
        <v>17</v>
      </c>
      <c r="C55" s="10">
        <v>1.0286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f t="shared" si="6"/>
        <v>1.0286</v>
      </c>
    </row>
    <row r="56" spans="1:12" x14ac:dyDescent="0.3">
      <c r="A56" s="4" t="s">
        <v>14</v>
      </c>
      <c r="B56" s="5" t="s">
        <v>18</v>
      </c>
      <c r="C56" s="10">
        <v>3.8961999999999999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6"/>
        <v>3.8961999999999999</v>
      </c>
    </row>
    <row r="57" spans="1:12" x14ac:dyDescent="0.3">
      <c r="A57" s="8" t="s">
        <v>19</v>
      </c>
      <c r="B57" s="5" t="s">
        <v>20</v>
      </c>
      <c r="C57" s="10">
        <v>14.507300000000001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f t="shared" si="6"/>
        <v>14.507300000000001</v>
      </c>
    </row>
    <row r="58" spans="1:12" x14ac:dyDescent="0.3">
      <c r="A58" s="8" t="s">
        <v>19</v>
      </c>
      <c r="B58" s="5" t="s">
        <v>21</v>
      </c>
      <c r="C58" s="10">
        <v>22.9742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f t="shared" si="6"/>
        <v>22.9742</v>
      </c>
    </row>
    <row r="59" spans="1:12" x14ac:dyDescent="0.3">
      <c r="A59" s="8" t="s">
        <v>19</v>
      </c>
      <c r="B59" s="5" t="s">
        <v>22</v>
      </c>
      <c r="C59" s="10">
        <v>6.4715999999999996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f t="shared" si="6"/>
        <v>6.4715999999999996</v>
      </c>
    </row>
    <row r="60" spans="1:12" x14ac:dyDescent="0.3">
      <c r="A60" s="8" t="s">
        <v>19</v>
      </c>
      <c r="B60" s="5" t="s">
        <v>23</v>
      </c>
      <c r="C60" s="10">
        <v>20.991599999999998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f t="shared" si="6"/>
        <v>20.991599999999998</v>
      </c>
    </row>
    <row r="61" spans="1:12" x14ac:dyDescent="0.3">
      <c r="A61" s="9" t="s">
        <v>24</v>
      </c>
      <c r="B61" s="5" t="s">
        <v>25</v>
      </c>
      <c r="C61" s="10">
        <v>10.1317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f t="shared" si="6"/>
        <v>10.1317</v>
      </c>
    </row>
    <row r="62" spans="1:12" x14ac:dyDescent="0.3">
      <c r="A62" s="9" t="s">
        <v>24</v>
      </c>
      <c r="B62" s="5" t="s">
        <v>26</v>
      </c>
      <c r="C62" s="10">
        <v>1.2394000000000001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f t="shared" si="6"/>
        <v>1.2394000000000001</v>
      </c>
    </row>
    <row r="63" spans="1:12" x14ac:dyDescent="0.3">
      <c r="A63" s="9" t="s">
        <v>24</v>
      </c>
      <c r="B63" s="5" t="s">
        <v>27</v>
      </c>
      <c r="C63" s="10">
        <v>7.6685999999999996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f t="shared" si="6"/>
        <v>7.6685999999999996</v>
      </c>
    </row>
    <row r="64" spans="1:12" x14ac:dyDescent="0.3">
      <c r="A64" s="9" t="s">
        <v>24</v>
      </c>
      <c r="B64" s="5" t="s">
        <v>28</v>
      </c>
      <c r="C64" s="10">
        <v>3.1917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f t="shared" si="6"/>
        <v>3.1917</v>
      </c>
    </row>
    <row r="65" spans="1:12" x14ac:dyDescent="0.3">
      <c r="A65" s="25" t="s">
        <v>29</v>
      </c>
      <c r="B65" s="25"/>
      <c r="C65" s="11">
        <f t="shared" ref="C65:L65" si="7">SUM(C53:C64)</f>
        <v>96.650999999999996</v>
      </c>
      <c r="D65" s="11">
        <f t="shared" si="7"/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si="7"/>
        <v>0</v>
      </c>
      <c r="J65" s="11">
        <f t="shared" si="7"/>
        <v>0</v>
      </c>
      <c r="K65" s="11">
        <f t="shared" si="7"/>
        <v>0</v>
      </c>
      <c r="L65" s="11">
        <f t="shared" si="7"/>
        <v>96.650999999999996</v>
      </c>
    </row>
    <row r="67" spans="1:12" ht="15.6" x14ac:dyDescent="0.3">
      <c r="A67" s="2" t="s">
        <v>33</v>
      </c>
    </row>
    <row r="68" spans="1:12" x14ac:dyDescent="0.3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</row>
    <row r="69" spans="1:12" x14ac:dyDescent="0.3">
      <c r="A69" s="4" t="s">
        <v>14</v>
      </c>
      <c r="B69" s="5" t="s">
        <v>15</v>
      </c>
      <c r="C69" s="10">
        <v>0</v>
      </c>
      <c r="D69" s="10">
        <v>3.6741999999999999</v>
      </c>
      <c r="E69" s="10">
        <v>0</v>
      </c>
      <c r="F69" s="10">
        <v>0</v>
      </c>
      <c r="G69" s="10">
        <v>5.3369</v>
      </c>
      <c r="H69" s="10">
        <v>1.2279</v>
      </c>
      <c r="I69" s="10">
        <v>3.2444999999999999</v>
      </c>
      <c r="J69" s="10">
        <v>21.670200000000001</v>
      </c>
      <c r="K69" s="10">
        <v>0.53369999999999995</v>
      </c>
      <c r="L69" s="11">
        <f t="shared" ref="L69:L80" si="8">SUM(C69:K69)</f>
        <v>35.687400000000004</v>
      </c>
    </row>
    <row r="70" spans="1:12" x14ac:dyDescent="0.3">
      <c r="A70" s="4" t="s">
        <v>14</v>
      </c>
      <c r="B70" s="5" t="s">
        <v>16</v>
      </c>
      <c r="C70" s="10">
        <v>0</v>
      </c>
      <c r="D70" s="10">
        <v>0.82199999999999995</v>
      </c>
      <c r="E70" s="10">
        <v>0</v>
      </c>
      <c r="F70" s="10">
        <v>0</v>
      </c>
      <c r="G70" s="10">
        <v>1.7183999999999999</v>
      </c>
      <c r="H70" s="10">
        <v>0.28010000000000002</v>
      </c>
      <c r="I70" s="10">
        <v>2.7423000000000002</v>
      </c>
      <c r="J70" s="10">
        <v>4.8422000000000001</v>
      </c>
      <c r="K70" s="10">
        <v>0.22559999999999999</v>
      </c>
      <c r="L70" s="11">
        <f t="shared" si="8"/>
        <v>10.630600000000001</v>
      </c>
    </row>
    <row r="71" spans="1:12" x14ac:dyDescent="0.3">
      <c r="A71" s="4" t="s">
        <v>14</v>
      </c>
      <c r="B71" s="5" t="s">
        <v>17</v>
      </c>
      <c r="C71" s="10">
        <v>0</v>
      </c>
      <c r="D71" s="10">
        <v>0.5504</v>
      </c>
      <c r="E71" s="10">
        <v>0</v>
      </c>
      <c r="F71" s="10">
        <v>0</v>
      </c>
      <c r="G71" s="10">
        <v>0.9708</v>
      </c>
      <c r="H71" s="10">
        <v>0.15640000000000001</v>
      </c>
      <c r="I71" s="10">
        <v>2.2033999999999998</v>
      </c>
      <c r="J71" s="10">
        <v>1.7126999999999999</v>
      </c>
      <c r="K71" s="10">
        <v>0.13589999999999999</v>
      </c>
      <c r="L71" s="11">
        <f t="shared" si="8"/>
        <v>5.7296000000000005</v>
      </c>
    </row>
    <row r="72" spans="1:12" x14ac:dyDescent="0.3">
      <c r="A72" s="4" t="s">
        <v>14</v>
      </c>
      <c r="B72" s="5" t="s">
        <v>18</v>
      </c>
      <c r="C72" s="10">
        <v>0</v>
      </c>
      <c r="D72" s="10">
        <v>2.1352000000000002</v>
      </c>
      <c r="E72" s="10">
        <v>0</v>
      </c>
      <c r="F72" s="10">
        <v>0</v>
      </c>
      <c r="G72" s="10">
        <v>1.1588000000000001</v>
      </c>
      <c r="H72" s="10">
        <v>0.64429999999999998</v>
      </c>
      <c r="I72" s="10">
        <v>3.2875000000000001</v>
      </c>
      <c r="J72" s="10">
        <v>2.8393000000000002</v>
      </c>
      <c r="K72" s="10">
        <v>0.30420000000000003</v>
      </c>
      <c r="L72" s="11">
        <f t="shared" si="8"/>
        <v>10.369300000000001</v>
      </c>
    </row>
    <row r="73" spans="1:12" x14ac:dyDescent="0.3">
      <c r="A73" s="8" t="s">
        <v>19</v>
      </c>
      <c r="B73" s="5" t="s">
        <v>20</v>
      </c>
      <c r="C73" s="10">
        <v>0</v>
      </c>
      <c r="D73" s="10">
        <v>6.7374000000000001</v>
      </c>
      <c r="E73" s="10">
        <v>0</v>
      </c>
      <c r="F73" s="10">
        <v>0</v>
      </c>
      <c r="G73" s="10">
        <v>10.9695</v>
      </c>
      <c r="H73" s="10">
        <v>2.5238</v>
      </c>
      <c r="I73" s="10">
        <v>10.3735</v>
      </c>
      <c r="J73" s="10">
        <v>3.5836999999999999</v>
      </c>
      <c r="K73" s="10">
        <v>1.2798</v>
      </c>
      <c r="L73" s="11">
        <f t="shared" si="8"/>
        <v>35.467700000000001</v>
      </c>
    </row>
    <row r="74" spans="1:12" x14ac:dyDescent="0.3">
      <c r="A74" s="8" t="s">
        <v>19</v>
      </c>
      <c r="B74" s="5" t="s">
        <v>21</v>
      </c>
      <c r="C74" s="10">
        <v>0</v>
      </c>
      <c r="D74" s="10">
        <v>7.4752999999999998</v>
      </c>
      <c r="E74" s="10">
        <v>0</v>
      </c>
      <c r="F74" s="10">
        <v>0</v>
      </c>
      <c r="G74" s="10">
        <v>5.2740999999999998</v>
      </c>
      <c r="H74" s="10">
        <v>1.8202</v>
      </c>
      <c r="I74" s="10">
        <v>37.406399999999998</v>
      </c>
      <c r="J74" s="10">
        <v>0</v>
      </c>
      <c r="K74" s="10">
        <v>0.92300000000000004</v>
      </c>
      <c r="L74" s="11">
        <f t="shared" si="8"/>
        <v>52.899000000000001</v>
      </c>
    </row>
    <row r="75" spans="1:12" x14ac:dyDescent="0.3">
      <c r="A75" s="8" t="s">
        <v>19</v>
      </c>
      <c r="B75" s="5" t="s">
        <v>22</v>
      </c>
      <c r="C75" s="10">
        <v>0</v>
      </c>
      <c r="D75" s="10">
        <v>2.8706999999999998</v>
      </c>
      <c r="E75" s="10">
        <v>0</v>
      </c>
      <c r="F75" s="10">
        <v>0</v>
      </c>
      <c r="G75" s="10">
        <v>3.5741000000000001</v>
      </c>
      <c r="H75" s="10">
        <v>0.22839999999999999</v>
      </c>
      <c r="I75" s="10">
        <v>3.38</v>
      </c>
      <c r="J75" s="10">
        <v>4.6707000000000001</v>
      </c>
      <c r="K75" s="10">
        <v>1.0425</v>
      </c>
      <c r="L75" s="11">
        <f t="shared" si="8"/>
        <v>15.766400000000001</v>
      </c>
    </row>
    <row r="76" spans="1:12" x14ac:dyDescent="0.3">
      <c r="A76" s="8" t="s">
        <v>19</v>
      </c>
      <c r="B76" s="5" t="s">
        <v>23</v>
      </c>
      <c r="C76" s="10">
        <v>0</v>
      </c>
      <c r="D76" s="10">
        <v>3.8714</v>
      </c>
      <c r="E76" s="10">
        <v>0</v>
      </c>
      <c r="F76" s="10">
        <v>0</v>
      </c>
      <c r="G76" s="10">
        <v>5.8529999999999998</v>
      </c>
      <c r="H76" s="10">
        <v>1.4963</v>
      </c>
      <c r="I76" s="10">
        <v>44.28</v>
      </c>
      <c r="J76" s="10">
        <v>0</v>
      </c>
      <c r="K76" s="10">
        <v>0.68289999999999995</v>
      </c>
      <c r="L76" s="11">
        <f t="shared" si="8"/>
        <v>56.183599999999998</v>
      </c>
    </row>
    <row r="77" spans="1:12" x14ac:dyDescent="0.3">
      <c r="A77" s="9" t="s">
        <v>24</v>
      </c>
      <c r="B77" s="5" t="s">
        <v>25</v>
      </c>
      <c r="C77" s="10">
        <v>0</v>
      </c>
      <c r="D77" s="10">
        <v>3.5592000000000001</v>
      </c>
      <c r="E77" s="10">
        <v>0</v>
      </c>
      <c r="F77" s="10">
        <v>0</v>
      </c>
      <c r="G77" s="10">
        <v>6.7606000000000002</v>
      </c>
      <c r="H77" s="10">
        <v>1.3332999999999999</v>
      </c>
      <c r="I77" s="10">
        <v>13.7</v>
      </c>
      <c r="J77" s="10">
        <v>13.2522</v>
      </c>
      <c r="K77" s="10">
        <v>1.3522000000000001</v>
      </c>
      <c r="L77" s="11">
        <f t="shared" si="8"/>
        <v>39.957500000000003</v>
      </c>
    </row>
    <row r="78" spans="1:12" x14ac:dyDescent="0.3">
      <c r="A78" s="9" t="s">
        <v>24</v>
      </c>
      <c r="B78" s="5" t="s">
        <v>26</v>
      </c>
      <c r="C78" s="10">
        <v>0</v>
      </c>
      <c r="D78" s="10">
        <v>0.67259999999999998</v>
      </c>
      <c r="E78" s="10">
        <v>0</v>
      </c>
      <c r="F78" s="10">
        <v>0</v>
      </c>
      <c r="G78" s="10">
        <v>0.39539999999999997</v>
      </c>
      <c r="H78" s="10">
        <v>6.8199999999999997E-2</v>
      </c>
      <c r="I78" s="10">
        <v>2.2437</v>
      </c>
      <c r="J78" s="10">
        <v>1.3565</v>
      </c>
      <c r="K78" s="10">
        <v>3.4599999999999999E-2</v>
      </c>
      <c r="L78" s="11">
        <f t="shared" si="8"/>
        <v>4.7709999999999999</v>
      </c>
    </row>
    <row r="79" spans="1:12" x14ac:dyDescent="0.3">
      <c r="A79" s="9" t="s">
        <v>24</v>
      </c>
      <c r="B79" s="5" t="s">
        <v>27</v>
      </c>
      <c r="C79" s="10">
        <v>0</v>
      </c>
      <c r="D79" s="10">
        <v>7.1363000000000003</v>
      </c>
      <c r="E79" s="10">
        <v>0</v>
      </c>
      <c r="F79" s="10">
        <v>0</v>
      </c>
      <c r="G79" s="10">
        <v>0.96819999999999995</v>
      </c>
      <c r="H79" s="10">
        <v>0.59409999999999996</v>
      </c>
      <c r="I79" s="10">
        <v>16.4816</v>
      </c>
      <c r="J79" s="10">
        <v>3.7959000000000001</v>
      </c>
      <c r="K79" s="10">
        <v>0.67779999999999996</v>
      </c>
      <c r="L79" s="11">
        <f t="shared" si="8"/>
        <v>29.6539</v>
      </c>
    </row>
    <row r="80" spans="1:12" x14ac:dyDescent="0.3">
      <c r="A80" s="9" t="s">
        <v>24</v>
      </c>
      <c r="B80" s="5" t="s">
        <v>28</v>
      </c>
      <c r="C80" s="10">
        <v>0</v>
      </c>
      <c r="D80" s="10">
        <v>2.3386999999999998</v>
      </c>
      <c r="E80" s="10">
        <v>0</v>
      </c>
      <c r="F80" s="10">
        <v>0</v>
      </c>
      <c r="G80" s="10">
        <v>2.75</v>
      </c>
      <c r="H80" s="10">
        <v>0.2109</v>
      </c>
      <c r="I80" s="10">
        <v>0</v>
      </c>
      <c r="J80" s="10">
        <v>1.7968999999999999</v>
      </c>
      <c r="K80" s="10">
        <v>0.32079999999999997</v>
      </c>
      <c r="L80" s="11">
        <f t="shared" si="8"/>
        <v>7.4172999999999991</v>
      </c>
    </row>
    <row r="81" spans="1:12" x14ac:dyDescent="0.3">
      <c r="A81" s="25" t="s">
        <v>29</v>
      </c>
      <c r="B81" s="25"/>
      <c r="C81" s="11">
        <f t="shared" ref="C81:L81" si="9">SUM(C69:C80)</f>
        <v>0</v>
      </c>
      <c r="D81" s="11">
        <f t="shared" si="9"/>
        <v>41.843400000000003</v>
      </c>
      <c r="E81" s="11">
        <f t="shared" si="9"/>
        <v>0</v>
      </c>
      <c r="F81" s="11">
        <f t="shared" si="9"/>
        <v>0</v>
      </c>
      <c r="G81" s="11">
        <f t="shared" si="9"/>
        <v>45.729800000000012</v>
      </c>
      <c r="H81" s="11">
        <f t="shared" si="9"/>
        <v>10.583899999999998</v>
      </c>
      <c r="I81" s="11">
        <f t="shared" si="9"/>
        <v>139.34289999999999</v>
      </c>
      <c r="J81" s="11">
        <f t="shared" si="9"/>
        <v>59.520299999999999</v>
      </c>
      <c r="K81" s="11">
        <f t="shared" si="9"/>
        <v>7.5129999999999999</v>
      </c>
      <c r="L81" s="11">
        <f t="shared" si="9"/>
        <v>304.53330000000005</v>
      </c>
    </row>
    <row r="83" spans="1:12" ht="15.6" x14ac:dyDescent="0.3">
      <c r="A83" s="2" t="s">
        <v>34</v>
      </c>
    </row>
    <row r="84" spans="1:12" x14ac:dyDescent="0.3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</row>
    <row r="85" spans="1:12" x14ac:dyDescent="0.3">
      <c r="A85" s="4" t="s">
        <v>14</v>
      </c>
      <c r="B85" s="5" t="s">
        <v>15</v>
      </c>
      <c r="C85" s="10">
        <v>1481.0889999999999</v>
      </c>
      <c r="D85" s="10">
        <v>185.47970000000001</v>
      </c>
      <c r="E85" s="10">
        <v>114.0303</v>
      </c>
      <c r="F85" s="10">
        <v>162.71770000000001</v>
      </c>
      <c r="G85" s="10">
        <v>27.224399999999999</v>
      </c>
      <c r="H85" s="10">
        <v>23.694600000000001</v>
      </c>
      <c r="I85" s="10">
        <v>9.5254999999999992</v>
      </c>
      <c r="J85" s="10">
        <v>183.2774</v>
      </c>
      <c r="K85" s="10">
        <v>3.3372999999999999</v>
      </c>
      <c r="L85" s="11">
        <f t="shared" ref="L85:L96" si="10">SUM(C85:K85)</f>
        <v>2190.3759</v>
      </c>
    </row>
    <row r="86" spans="1:12" x14ac:dyDescent="0.3">
      <c r="A86" s="4" t="s">
        <v>14</v>
      </c>
      <c r="B86" s="5" t="s">
        <v>16</v>
      </c>
      <c r="C86" s="10">
        <v>445.36739999999998</v>
      </c>
      <c r="D86" s="10">
        <v>24.947700000000001</v>
      </c>
      <c r="E86" s="10">
        <v>22.999400000000001</v>
      </c>
      <c r="F86" s="10">
        <v>32.336100000000002</v>
      </c>
      <c r="G86" s="10">
        <v>5.7831000000000001</v>
      </c>
      <c r="H86" s="10">
        <v>4.4984000000000002</v>
      </c>
      <c r="I86" s="10">
        <v>7.0713999999999997</v>
      </c>
      <c r="J86" s="10">
        <v>28.8855</v>
      </c>
      <c r="K86" s="10">
        <v>1.2597</v>
      </c>
      <c r="L86" s="11">
        <f t="shared" si="10"/>
        <v>573.14869999999985</v>
      </c>
    </row>
    <row r="87" spans="1:12" x14ac:dyDescent="0.3">
      <c r="A87" s="4" t="s">
        <v>14</v>
      </c>
      <c r="B87" s="5" t="s">
        <v>17</v>
      </c>
      <c r="C87" s="10">
        <v>429.23520000000002</v>
      </c>
      <c r="D87" s="10">
        <v>19.306799999999999</v>
      </c>
      <c r="E87" s="10">
        <v>15.489000000000001</v>
      </c>
      <c r="F87" s="10">
        <v>23.055399999999999</v>
      </c>
      <c r="G87" s="10">
        <v>4.3220999999999998</v>
      </c>
      <c r="H87" s="10">
        <v>2.6516999999999999</v>
      </c>
      <c r="I87" s="10">
        <v>8.4492999999999991</v>
      </c>
      <c r="J87" s="10">
        <v>18.486000000000001</v>
      </c>
      <c r="K87" s="10">
        <v>0.94079999999999997</v>
      </c>
      <c r="L87" s="11">
        <f t="shared" si="10"/>
        <v>521.93629999999996</v>
      </c>
    </row>
    <row r="88" spans="1:12" x14ac:dyDescent="0.3">
      <c r="A88" s="4" t="s">
        <v>14</v>
      </c>
      <c r="B88" s="5" t="s">
        <v>18</v>
      </c>
      <c r="C88" s="10">
        <v>1626.1274000000001</v>
      </c>
      <c r="D88" s="10">
        <v>70.9923</v>
      </c>
      <c r="E88" s="10">
        <v>23.725000000000001</v>
      </c>
      <c r="F88" s="10">
        <v>174.7064</v>
      </c>
      <c r="G88" s="10">
        <v>3.8176999999999999</v>
      </c>
      <c r="H88" s="10">
        <v>11.4687</v>
      </c>
      <c r="I88" s="10">
        <v>10.2262</v>
      </c>
      <c r="J88" s="10">
        <v>18.699000000000002</v>
      </c>
      <c r="K88" s="10">
        <v>1.9554</v>
      </c>
      <c r="L88" s="11">
        <f t="shared" si="10"/>
        <v>1941.7181000000003</v>
      </c>
    </row>
    <row r="89" spans="1:12" x14ac:dyDescent="0.3">
      <c r="A89" s="8" t="s">
        <v>19</v>
      </c>
      <c r="B89" s="5" t="s">
        <v>20</v>
      </c>
      <c r="C89" s="10">
        <v>6091.7808000000005</v>
      </c>
      <c r="D89" s="10">
        <v>258.4778</v>
      </c>
      <c r="E89" s="10">
        <v>41.198500000000003</v>
      </c>
      <c r="F89" s="10">
        <v>687.75419999999997</v>
      </c>
      <c r="G89" s="10">
        <v>26.648599999999998</v>
      </c>
      <c r="H89" s="10">
        <v>42.657699999999998</v>
      </c>
      <c r="I89" s="10">
        <v>32.993600000000001</v>
      </c>
      <c r="J89" s="10">
        <v>16.7178</v>
      </c>
      <c r="K89" s="10">
        <v>16.555399999999999</v>
      </c>
      <c r="L89" s="11">
        <f t="shared" si="10"/>
        <v>7214.7844000000014</v>
      </c>
    </row>
    <row r="90" spans="1:12" x14ac:dyDescent="0.3">
      <c r="A90" s="8" t="s">
        <v>19</v>
      </c>
      <c r="B90" s="5" t="s">
        <v>21</v>
      </c>
      <c r="C90" s="10">
        <v>7023.9008999999996</v>
      </c>
      <c r="D90" s="10">
        <v>221.48490000000001</v>
      </c>
      <c r="E90" s="10">
        <v>209.512</v>
      </c>
      <c r="F90" s="10">
        <v>342.4778</v>
      </c>
      <c r="G90" s="10">
        <v>1.7551000000000001</v>
      </c>
      <c r="H90" s="10">
        <v>38.100099999999998</v>
      </c>
      <c r="I90" s="10">
        <v>92.040899999999993</v>
      </c>
      <c r="J90" s="10">
        <v>0</v>
      </c>
      <c r="K90" s="10">
        <v>3.4365000000000001</v>
      </c>
      <c r="L90" s="11">
        <f t="shared" si="10"/>
        <v>7932.7081999999991</v>
      </c>
    </row>
    <row r="91" spans="1:12" x14ac:dyDescent="0.3">
      <c r="A91" s="8" t="s">
        <v>19</v>
      </c>
      <c r="B91" s="5" t="s">
        <v>22</v>
      </c>
      <c r="C91" s="10">
        <v>2299.7964999999999</v>
      </c>
      <c r="D91" s="10">
        <v>82.347099999999998</v>
      </c>
      <c r="E91" s="10">
        <v>36.512</v>
      </c>
      <c r="F91" s="10">
        <v>67.378799999999998</v>
      </c>
      <c r="G91" s="10">
        <v>12.845800000000001</v>
      </c>
      <c r="H91" s="10">
        <v>5.0749000000000004</v>
      </c>
      <c r="I91" s="10">
        <v>8.1511999999999993</v>
      </c>
      <c r="J91" s="10">
        <v>27.716000000000001</v>
      </c>
      <c r="K91" s="10">
        <v>4.1402000000000001</v>
      </c>
      <c r="L91" s="11">
        <f t="shared" si="10"/>
        <v>2543.9624999999996</v>
      </c>
    </row>
    <row r="92" spans="1:12" x14ac:dyDescent="0.3">
      <c r="A92" s="8" t="s">
        <v>19</v>
      </c>
      <c r="B92" s="5" t="s">
        <v>23</v>
      </c>
      <c r="C92" s="10">
        <v>8213.4485000000004</v>
      </c>
      <c r="D92" s="10">
        <v>129.53880000000001</v>
      </c>
      <c r="E92" s="10">
        <v>86.673000000000002</v>
      </c>
      <c r="F92" s="10">
        <v>398.1694</v>
      </c>
      <c r="G92" s="10">
        <v>22.204899999999999</v>
      </c>
      <c r="H92" s="10">
        <v>35.074100000000001</v>
      </c>
      <c r="I92" s="10">
        <v>116.8466</v>
      </c>
      <c r="J92" s="10">
        <v>0</v>
      </c>
      <c r="K92" s="10">
        <v>3.7810999999999999</v>
      </c>
      <c r="L92" s="11">
        <f t="shared" si="10"/>
        <v>9005.7364000000034</v>
      </c>
    </row>
    <row r="93" spans="1:12" x14ac:dyDescent="0.3">
      <c r="A93" s="9" t="s">
        <v>24</v>
      </c>
      <c r="B93" s="5" t="s">
        <v>25</v>
      </c>
      <c r="C93" s="10">
        <v>4461.4560000000001</v>
      </c>
      <c r="D93" s="10">
        <v>149.89660000000001</v>
      </c>
      <c r="E93" s="10">
        <v>71.758499999999998</v>
      </c>
      <c r="F93" s="10">
        <v>146.67949999999999</v>
      </c>
      <c r="G93" s="10">
        <v>29.633700000000001</v>
      </c>
      <c r="H93" s="10">
        <v>19.379799999999999</v>
      </c>
      <c r="I93" s="10">
        <v>27.5807</v>
      </c>
      <c r="J93" s="10">
        <v>152.73259999999999</v>
      </c>
      <c r="K93" s="10">
        <v>6.6479999999999997</v>
      </c>
      <c r="L93" s="11">
        <f t="shared" si="10"/>
        <v>5065.7654000000011</v>
      </c>
    </row>
    <row r="94" spans="1:12" x14ac:dyDescent="0.3">
      <c r="A94" s="9" t="s">
        <v>24</v>
      </c>
      <c r="B94" s="5" t="s">
        <v>26</v>
      </c>
      <c r="C94" s="10">
        <v>416.9085</v>
      </c>
      <c r="D94" s="10">
        <v>15.4466</v>
      </c>
      <c r="E94" s="10">
        <v>14.0663</v>
      </c>
      <c r="F94" s="10">
        <v>17.215399999999999</v>
      </c>
      <c r="G94" s="10">
        <v>0.99129999999999996</v>
      </c>
      <c r="H94" s="10">
        <v>0.87829999999999997</v>
      </c>
      <c r="I94" s="10">
        <v>3.3328000000000002</v>
      </c>
      <c r="J94" s="10">
        <v>7.4710000000000001</v>
      </c>
      <c r="K94" s="10">
        <v>0.17180000000000001</v>
      </c>
      <c r="L94" s="11">
        <f t="shared" si="10"/>
        <v>476.48200000000008</v>
      </c>
    </row>
    <row r="95" spans="1:12" x14ac:dyDescent="0.3">
      <c r="A95" s="9" t="s">
        <v>24</v>
      </c>
      <c r="B95" s="5" t="s">
        <v>27</v>
      </c>
      <c r="C95" s="10">
        <v>2186.2042999999999</v>
      </c>
      <c r="D95" s="10">
        <v>133.0376</v>
      </c>
      <c r="E95" s="10">
        <v>67.202200000000005</v>
      </c>
      <c r="F95" s="10">
        <v>57.8568</v>
      </c>
      <c r="G95" s="10">
        <v>3.3511000000000002</v>
      </c>
      <c r="H95" s="10">
        <v>8.1814999999999998</v>
      </c>
      <c r="I95" s="10">
        <v>36.099200000000003</v>
      </c>
      <c r="J95" s="10">
        <v>13.2807</v>
      </c>
      <c r="K95" s="10">
        <v>2.3294999999999999</v>
      </c>
      <c r="L95" s="11">
        <f t="shared" si="10"/>
        <v>2507.5428999999999</v>
      </c>
    </row>
    <row r="96" spans="1:12" x14ac:dyDescent="0.3">
      <c r="A96" s="9" t="s">
        <v>24</v>
      </c>
      <c r="B96" s="5" t="s">
        <v>28</v>
      </c>
      <c r="C96" s="10">
        <v>871.94749999999999</v>
      </c>
      <c r="D96" s="10">
        <v>78.912000000000006</v>
      </c>
      <c r="E96" s="10">
        <v>17.9419</v>
      </c>
      <c r="F96" s="10">
        <v>4.9263000000000003</v>
      </c>
      <c r="G96" s="10">
        <v>8.7857000000000003</v>
      </c>
      <c r="H96" s="10">
        <v>1.9363999999999999</v>
      </c>
      <c r="I96" s="10">
        <v>0</v>
      </c>
      <c r="J96" s="10">
        <v>2.9584000000000001</v>
      </c>
      <c r="K96" s="10">
        <v>0.45950000000000002</v>
      </c>
      <c r="L96" s="11">
        <f t="shared" si="10"/>
        <v>987.86770000000013</v>
      </c>
    </row>
    <row r="97" spans="1:12" x14ac:dyDescent="0.3">
      <c r="A97" s="25" t="s">
        <v>29</v>
      </c>
      <c r="B97" s="25"/>
      <c r="C97" s="11">
        <f t="shared" ref="C97:L97" si="11">SUM(C85:C96)</f>
        <v>35547.262000000002</v>
      </c>
      <c r="D97" s="11">
        <f t="shared" si="11"/>
        <v>1369.8679</v>
      </c>
      <c r="E97" s="11">
        <f t="shared" si="11"/>
        <v>721.10810000000015</v>
      </c>
      <c r="F97" s="11">
        <f t="shared" si="11"/>
        <v>2115.2737999999999</v>
      </c>
      <c r="G97" s="11">
        <f t="shared" si="11"/>
        <v>147.36349999999999</v>
      </c>
      <c r="H97" s="11">
        <f t="shared" si="11"/>
        <v>193.59620000000001</v>
      </c>
      <c r="I97" s="11">
        <f t="shared" si="11"/>
        <v>352.31739999999996</v>
      </c>
      <c r="J97" s="11">
        <f t="shared" si="11"/>
        <v>470.2244</v>
      </c>
      <c r="K97" s="11">
        <f t="shared" si="11"/>
        <v>45.0152</v>
      </c>
      <c r="L97" s="11">
        <f t="shared" si="11"/>
        <v>40962.028500000015</v>
      </c>
    </row>
    <row r="99" spans="1:12" ht="15.6" x14ac:dyDescent="0.3">
      <c r="A99" s="2" t="s">
        <v>35</v>
      </c>
    </row>
    <row r="100" spans="1:12" x14ac:dyDescent="0.3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12</v>
      </c>
      <c r="L100" s="3" t="s">
        <v>13</v>
      </c>
    </row>
    <row r="101" spans="1:12" x14ac:dyDescent="0.3">
      <c r="A101" s="4" t="s">
        <v>14</v>
      </c>
      <c r="B101" s="5" t="s">
        <v>15</v>
      </c>
      <c r="C101" s="10">
        <v>1506.4835</v>
      </c>
      <c r="D101" s="10">
        <v>238.9374</v>
      </c>
      <c r="E101" s="10">
        <v>115.3198</v>
      </c>
      <c r="F101" s="10">
        <v>164.7439</v>
      </c>
      <c r="G101" s="10">
        <v>44.412700000000001</v>
      </c>
      <c r="H101" s="10">
        <v>38.886499999999998</v>
      </c>
      <c r="I101" s="10">
        <v>16.571000000000002</v>
      </c>
      <c r="J101" s="10">
        <v>243.47739999999999</v>
      </c>
      <c r="K101" s="10">
        <v>4.6105</v>
      </c>
      <c r="L101" s="11">
        <f t="shared" ref="L101:L112" si="12">SUM(C101:K101)</f>
        <v>2373.4426999999996</v>
      </c>
    </row>
    <row r="102" spans="1:12" x14ac:dyDescent="0.3">
      <c r="A102" s="4" t="s">
        <v>14</v>
      </c>
      <c r="B102" s="5" t="s">
        <v>16</v>
      </c>
      <c r="C102" s="10">
        <v>477.0224</v>
      </c>
      <c r="D102" s="10">
        <v>47.349499999999999</v>
      </c>
      <c r="E102" s="10">
        <v>24.533200000000001</v>
      </c>
      <c r="F102" s="10">
        <v>34.295999999999999</v>
      </c>
      <c r="G102" s="10">
        <v>12.8644</v>
      </c>
      <c r="H102" s="10">
        <v>10.1548</v>
      </c>
      <c r="I102" s="10">
        <v>13.6065</v>
      </c>
      <c r="J102" s="10">
        <v>46.784500000000001</v>
      </c>
      <c r="K102" s="10">
        <v>2.7645</v>
      </c>
      <c r="L102" s="11">
        <f t="shared" si="12"/>
        <v>669.37580000000003</v>
      </c>
    </row>
    <row r="103" spans="1:12" x14ac:dyDescent="0.3">
      <c r="A103" s="4" t="s">
        <v>14</v>
      </c>
      <c r="B103" s="5" t="s">
        <v>17</v>
      </c>
      <c r="C103" s="10">
        <v>457.54419999999999</v>
      </c>
      <c r="D103" s="10">
        <v>34.298000000000002</v>
      </c>
      <c r="E103" s="10">
        <v>16.220099999999999</v>
      </c>
      <c r="F103" s="10">
        <v>24.248200000000001</v>
      </c>
      <c r="G103" s="10">
        <v>8.3216000000000001</v>
      </c>
      <c r="H103" s="10">
        <v>5.8082000000000003</v>
      </c>
      <c r="I103" s="10">
        <v>13.6996</v>
      </c>
      <c r="J103" s="10">
        <v>24.815100000000001</v>
      </c>
      <c r="K103" s="10">
        <v>1.8469</v>
      </c>
      <c r="L103" s="11">
        <f t="shared" si="12"/>
        <v>586.80190000000016</v>
      </c>
    </row>
    <row r="104" spans="1:12" x14ac:dyDescent="0.3">
      <c r="A104" s="4" t="s">
        <v>14</v>
      </c>
      <c r="B104" s="5" t="s">
        <v>18</v>
      </c>
      <c r="C104" s="10">
        <v>1661.7800999999999</v>
      </c>
      <c r="D104" s="10">
        <v>104.3322</v>
      </c>
      <c r="E104" s="10">
        <v>24.183700000000002</v>
      </c>
      <c r="F104" s="10">
        <v>177.42339999999999</v>
      </c>
      <c r="G104" s="10">
        <v>7.6372</v>
      </c>
      <c r="H104" s="10">
        <v>19.863</v>
      </c>
      <c r="I104" s="10">
        <v>17.423400000000001</v>
      </c>
      <c r="J104" s="10">
        <v>26.805299999999999</v>
      </c>
      <c r="K104" s="10">
        <v>2.7902999999999998</v>
      </c>
      <c r="L104" s="11">
        <f t="shared" si="12"/>
        <v>2042.2385999999997</v>
      </c>
    </row>
    <row r="105" spans="1:12" x14ac:dyDescent="0.3">
      <c r="A105" s="8" t="s">
        <v>19</v>
      </c>
      <c r="B105" s="5" t="s">
        <v>20</v>
      </c>
      <c r="C105" s="10">
        <v>6127.0684000000001</v>
      </c>
      <c r="D105" s="10">
        <v>335.04739999999998</v>
      </c>
      <c r="E105" s="10">
        <v>41.394199999999998</v>
      </c>
      <c r="F105" s="10">
        <v>688.61519999999996</v>
      </c>
      <c r="G105" s="10">
        <v>59.501399999999997</v>
      </c>
      <c r="H105" s="10">
        <v>68.931399999999996</v>
      </c>
      <c r="I105" s="10">
        <v>54.969799999999999</v>
      </c>
      <c r="J105" s="10">
        <v>25.848199999999999</v>
      </c>
      <c r="K105" s="10">
        <v>18.232800000000001</v>
      </c>
      <c r="L105" s="11">
        <f t="shared" si="12"/>
        <v>7419.6088000000009</v>
      </c>
    </row>
    <row r="106" spans="1:12" x14ac:dyDescent="0.3">
      <c r="A106" s="8" t="s">
        <v>19</v>
      </c>
      <c r="B106" s="5" t="s">
        <v>21</v>
      </c>
      <c r="C106" s="10">
        <v>7075.1992</v>
      </c>
      <c r="D106" s="10">
        <v>305.4973</v>
      </c>
      <c r="E106" s="10">
        <v>210.2894</v>
      </c>
      <c r="F106" s="10">
        <v>343.49799999999999</v>
      </c>
      <c r="G106" s="10">
        <v>17.503399999999999</v>
      </c>
      <c r="H106" s="10">
        <v>56.906999999999996</v>
      </c>
      <c r="I106" s="10">
        <v>171.20760000000001</v>
      </c>
      <c r="J106" s="10">
        <v>0</v>
      </c>
      <c r="K106" s="10">
        <v>4.6069000000000004</v>
      </c>
      <c r="L106" s="11">
        <f t="shared" si="12"/>
        <v>8184.7087999999985</v>
      </c>
    </row>
    <row r="107" spans="1:12" x14ac:dyDescent="0.3">
      <c r="A107" s="8" t="s">
        <v>19</v>
      </c>
      <c r="B107" s="5" t="s">
        <v>22</v>
      </c>
      <c r="C107" s="10">
        <v>2341.4488999999999</v>
      </c>
      <c r="D107" s="10">
        <v>122.2426</v>
      </c>
      <c r="E107" s="10">
        <v>37.0443</v>
      </c>
      <c r="F107" s="10">
        <v>68.104600000000005</v>
      </c>
      <c r="G107" s="10">
        <v>24.191600000000001</v>
      </c>
      <c r="H107" s="10">
        <v>7.8091999999999997</v>
      </c>
      <c r="I107" s="10">
        <v>15.4542</v>
      </c>
      <c r="J107" s="10">
        <v>40.4711</v>
      </c>
      <c r="K107" s="10">
        <v>6.3975999999999997</v>
      </c>
      <c r="L107" s="11">
        <f t="shared" si="12"/>
        <v>2663.1641000000004</v>
      </c>
    </row>
    <row r="108" spans="1:12" x14ac:dyDescent="0.3">
      <c r="A108" s="8" t="s">
        <v>19</v>
      </c>
      <c r="B108" s="5" t="s">
        <v>23</v>
      </c>
      <c r="C108" s="10">
        <v>8269.6735000000008</v>
      </c>
      <c r="D108" s="10">
        <v>174.13939999999999</v>
      </c>
      <c r="E108" s="10">
        <v>87.064499999999995</v>
      </c>
      <c r="F108" s="10">
        <v>399.4418</v>
      </c>
      <c r="G108" s="10">
        <v>39.798699999999997</v>
      </c>
      <c r="H108" s="10">
        <v>50.7941</v>
      </c>
      <c r="I108" s="10">
        <v>210.76820000000001</v>
      </c>
      <c r="J108" s="10">
        <v>0</v>
      </c>
      <c r="K108" s="10">
        <v>4.7119999999999997</v>
      </c>
      <c r="L108" s="11">
        <f t="shared" si="12"/>
        <v>9236.3922000000002</v>
      </c>
    </row>
    <row r="109" spans="1:12" x14ac:dyDescent="0.3">
      <c r="A109" s="9" t="s">
        <v>24</v>
      </c>
      <c r="B109" s="5" t="s">
        <v>25</v>
      </c>
      <c r="C109" s="10">
        <v>4499.2933000000003</v>
      </c>
      <c r="D109" s="10">
        <v>193.27770000000001</v>
      </c>
      <c r="E109" s="10">
        <v>72.271600000000007</v>
      </c>
      <c r="F109" s="10">
        <v>147.42939999999999</v>
      </c>
      <c r="G109" s="10">
        <v>50.2759</v>
      </c>
      <c r="H109" s="10">
        <v>33.935899999999997</v>
      </c>
      <c r="I109" s="10">
        <v>56.791899999999998</v>
      </c>
      <c r="J109" s="10">
        <v>187.285</v>
      </c>
      <c r="K109" s="10">
        <v>8.7960999999999991</v>
      </c>
      <c r="L109" s="11">
        <f t="shared" si="12"/>
        <v>5249.3567999999996</v>
      </c>
    </row>
    <row r="110" spans="1:12" x14ac:dyDescent="0.3">
      <c r="A110" s="9" t="s">
        <v>24</v>
      </c>
      <c r="B110" s="5" t="s">
        <v>26</v>
      </c>
      <c r="C110" s="10">
        <v>463.95339999999999</v>
      </c>
      <c r="D110" s="10">
        <v>38.2042</v>
      </c>
      <c r="E110" s="10">
        <v>15.2674</v>
      </c>
      <c r="F110" s="10">
        <v>18.307300000000001</v>
      </c>
      <c r="G110" s="10">
        <v>2.8054000000000001</v>
      </c>
      <c r="H110" s="10">
        <v>2.5333000000000001</v>
      </c>
      <c r="I110" s="10">
        <v>8.9257000000000009</v>
      </c>
      <c r="J110" s="10">
        <v>13.131</v>
      </c>
      <c r="K110" s="10">
        <v>0.47949999999999998</v>
      </c>
      <c r="L110" s="11">
        <f t="shared" si="12"/>
        <v>563.60720000000003</v>
      </c>
    </row>
    <row r="111" spans="1:12" x14ac:dyDescent="0.3">
      <c r="A111" s="9" t="s">
        <v>24</v>
      </c>
      <c r="B111" s="5" t="s">
        <v>27</v>
      </c>
      <c r="C111" s="10">
        <v>2219.2179999999998</v>
      </c>
      <c r="D111" s="10">
        <v>222.59450000000001</v>
      </c>
      <c r="E111" s="10">
        <v>68.015100000000004</v>
      </c>
      <c r="F111" s="10">
        <v>58.382800000000003</v>
      </c>
      <c r="G111" s="10">
        <v>6.3322000000000003</v>
      </c>
      <c r="H111" s="10">
        <v>14.799300000000001</v>
      </c>
      <c r="I111" s="10">
        <v>71.340400000000002</v>
      </c>
      <c r="J111" s="10">
        <v>23.276800000000001</v>
      </c>
      <c r="K111" s="10">
        <v>3.4887999999999999</v>
      </c>
      <c r="L111" s="11">
        <f t="shared" si="12"/>
        <v>2687.4479000000001</v>
      </c>
    </row>
    <row r="112" spans="1:12" x14ac:dyDescent="0.3">
      <c r="A112" s="9" t="s">
        <v>24</v>
      </c>
      <c r="B112" s="5" t="s">
        <v>28</v>
      </c>
      <c r="C112" s="10">
        <v>887.92539999999997</v>
      </c>
      <c r="D112" s="10">
        <v>109.2984</v>
      </c>
      <c r="E112" s="10">
        <v>18.2163</v>
      </c>
      <c r="F112" s="10">
        <v>5.0359999999999996</v>
      </c>
      <c r="G112" s="10">
        <v>17.339099999999998</v>
      </c>
      <c r="H112" s="10">
        <v>4.3436000000000003</v>
      </c>
      <c r="I112" s="10">
        <v>0</v>
      </c>
      <c r="J112" s="10">
        <v>7.7478999999999996</v>
      </c>
      <c r="K112" s="10">
        <v>1.0563</v>
      </c>
      <c r="L112" s="11">
        <f t="shared" si="12"/>
        <v>1050.963</v>
      </c>
    </row>
    <row r="113" spans="1:12" x14ac:dyDescent="0.3">
      <c r="A113" s="25" t="s">
        <v>29</v>
      </c>
      <c r="B113" s="25"/>
      <c r="C113" s="11">
        <f t="shared" ref="C113:L113" si="13">SUM(C101:C112)</f>
        <v>35986.6103</v>
      </c>
      <c r="D113" s="11">
        <f t="shared" si="13"/>
        <v>1925.2185999999999</v>
      </c>
      <c r="E113" s="11">
        <f t="shared" si="13"/>
        <v>729.81960000000004</v>
      </c>
      <c r="F113" s="11">
        <f t="shared" si="13"/>
        <v>2129.5266000000001</v>
      </c>
      <c r="G113" s="11">
        <f t="shared" si="13"/>
        <v>290.98359999999997</v>
      </c>
      <c r="H113" s="11">
        <f t="shared" si="13"/>
        <v>314.7663</v>
      </c>
      <c r="I113" s="11">
        <f t="shared" si="13"/>
        <v>650.75829999999996</v>
      </c>
      <c r="J113" s="11">
        <f t="shared" si="13"/>
        <v>639.64229999999986</v>
      </c>
      <c r="K113" s="11">
        <f t="shared" si="13"/>
        <v>59.782199999999996</v>
      </c>
      <c r="L113" s="11">
        <f t="shared" si="13"/>
        <v>42727.107800000005</v>
      </c>
    </row>
  </sheetData>
  <mergeCells count="7">
    <mergeCell ref="A97:B97"/>
    <mergeCell ref="A113:B113"/>
    <mergeCell ref="A17:B17"/>
    <mergeCell ref="A33:B33"/>
    <mergeCell ref="A49:B49"/>
    <mergeCell ref="A65:B65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"/>
  <sheetViews>
    <sheetView zoomScaleNormal="100" workbookViewId="0">
      <pane ySplit="2" topLeftCell="A3" activePane="bottomLeft" state="frozen"/>
      <selection pane="bottomLeft" activeCell="C113" sqref="C113:L113"/>
    </sheetView>
  </sheetViews>
  <sheetFormatPr defaultColWidth="8.6640625" defaultRowHeight="14.4" x14ac:dyDescent="0.3"/>
  <cols>
    <col min="1" max="2" width="12" customWidth="1"/>
    <col min="3" max="11" width="10" customWidth="1"/>
    <col min="12" max="12" width="12" customWidth="1"/>
  </cols>
  <sheetData>
    <row r="1" spans="1:12" ht="17.399999999999999" x14ac:dyDescent="0.3">
      <c r="A1" s="1" t="s">
        <v>37</v>
      </c>
    </row>
    <row r="3" spans="1:12" ht="15.6" x14ac:dyDescent="0.3">
      <c r="A3" s="2" t="s">
        <v>1</v>
      </c>
    </row>
    <row r="4" spans="1:1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15</v>
      </c>
      <c r="C5" s="6">
        <v>392</v>
      </c>
      <c r="D5" s="6">
        <v>11</v>
      </c>
      <c r="E5" s="6">
        <v>4</v>
      </c>
      <c r="F5" s="6">
        <v>9</v>
      </c>
      <c r="G5" s="6">
        <v>11</v>
      </c>
      <c r="H5" s="6">
        <v>16</v>
      </c>
      <c r="I5" s="6">
        <v>3</v>
      </c>
      <c r="J5" s="6">
        <v>1</v>
      </c>
      <c r="K5" s="6">
        <v>13</v>
      </c>
      <c r="L5" s="7">
        <f t="shared" ref="L5:L16" si="0">SUM(C5:K5)</f>
        <v>460</v>
      </c>
    </row>
    <row r="6" spans="1:12" x14ac:dyDescent="0.3">
      <c r="A6" s="4" t="s">
        <v>14</v>
      </c>
      <c r="B6" s="5" t="s">
        <v>16</v>
      </c>
      <c r="C6" s="6">
        <v>385</v>
      </c>
      <c r="D6" s="6">
        <v>15</v>
      </c>
      <c r="E6" s="6">
        <v>6</v>
      </c>
      <c r="F6" s="6">
        <v>9</v>
      </c>
      <c r="G6" s="6">
        <v>15</v>
      </c>
      <c r="H6" s="6">
        <v>8</v>
      </c>
      <c r="I6" s="6">
        <v>6</v>
      </c>
      <c r="J6" s="6">
        <v>4</v>
      </c>
      <c r="K6" s="6">
        <v>22</v>
      </c>
      <c r="L6" s="7">
        <f t="shared" si="0"/>
        <v>470</v>
      </c>
    </row>
    <row r="7" spans="1:12" x14ac:dyDescent="0.3">
      <c r="A7" s="4" t="s">
        <v>14</v>
      </c>
      <c r="B7" s="5" t="s">
        <v>17</v>
      </c>
      <c r="C7" s="6">
        <v>639</v>
      </c>
      <c r="D7" s="6">
        <v>7</v>
      </c>
      <c r="E7" s="6">
        <v>11</v>
      </c>
      <c r="F7" s="6">
        <v>16</v>
      </c>
      <c r="G7" s="6">
        <v>4</v>
      </c>
      <c r="H7" s="6">
        <v>6</v>
      </c>
      <c r="I7" s="6">
        <v>5</v>
      </c>
      <c r="J7" s="6">
        <v>1</v>
      </c>
      <c r="K7" s="6">
        <v>1</v>
      </c>
      <c r="L7" s="7">
        <f t="shared" si="0"/>
        <v>690</v>
      </c>
    </row>
    <row r="8" spans="1:12" x14ac:dyDescent="0.3">
      <c r="A8" s="4" t="s">
        <v>14</v>
      </c>
      <c r="B8" s="5" t="s">
        <v>18</v>
      </c>
      <c r="C8" s="6">
        <v>827</v>
      </c>
      <c r="D8" s="6">
        <v>27</v>
      </c>
      <c r="E8" s="6">
        <v>13</v>
      </c>
      <c r="F8" s="6">
        <v>19</v>
      </c>
      <c r="G8" s="6">
        <v>9</v>
      </c>
      <c r="H8" s="6">
        <v>15</v>
      </c>
      <c r="I8" s="6">
        <v>5</v>
      </c>
      <c r="J8" s="6">
        <v>1</v>
      </c>
      <c r="K8" s="6">
        <v>5</v>
      </c>
      <c r="L8" s="7">
        <f t="shared" si="0"/>
        <v>921</v>
      </c>
    </row>
    <row r="9" spans="1:12" x14ac:dyDescent="0.3">
      <c r="A9" s="8" t="s">
        <v>19</v>
      </c>
      <c r="B9" s="5" t="s">
        <v>20</v>
      </c>
      <c r="C9" s="6">
        <v>663</v>
      </c>
      <c r="D9" s="6">
        <v>10</v>
      </c>
      <c r="E9" s="6">
        <v>6</v>
      </c>
      <c r="F9" s="6">
        <v>14</v>
      </c>
      <c r="G9" s="6">
        <v>5</v>
      </c>
      <c r="H9" s="6">
        <v>12</v>
      </c>
      <c r="I9" s="6">
        <v>4</v>
      </c>
      <c r="J9" s="6">
        <v>5</v>
      </c>
      <c r="K9" s="6">
        <v>0</v>
      </c>
      <c r="L9" s="7">
        <f t="shared" si="0"/>
        <v>719</v>
      </c>
    </row>
    <row r="10" spans="1:12" x14ac:dyDescent="0.3">
      <c r="A10" s="8" t="s">
        <v>19</v>
      </c>
      <c r="B10" s="5" t="s">
        <v>21</v>
      </c>
      <c r="C10" s="6">
        <v>821</v>
      </c>
      <c r="D10" s="6">
        <v>16</v>
      </c>
      <c r="E10" s="6">
        <v>19</v>
      </c>
      <c r="F10" s="6">
        <v>22</v>
      </c>
      <c r="G10" s="6">
        <v>8</v>
      </c>
      <c r="H10" s="6">
        <v>12</v>
      </c>
      <c r="I10" s="6">
        <v>4</v>
      </c>
      <c r="J10" s="6">
        <v>3</v>
      </c>
      <c r="K10" s="6">
        <v>3</v>
      </c>
      <c r="L10" s="7">
        <f t="shared" si="0"/>
        <v>908</v>
      </c>
    </row>
    <row r="11" spans="1:12" x14ac:dyDescent="0.3">
      <c r="A11" s="8" t="s">
        <v>19</v>
      </c>
      <c r="B11" s="5" t="s">
        <v>22</v>
      </c>
      <c r="C11" s="6">
        <v>700</v>
      </c>
      <c r="D11" s="6">
        <v>28</v>
      </c>
      <c r="E11" s="6">
        <v>10</v>
      </c>
      <c r="F11" s="6">
        <v>21</v>
      </c>
      <c r="G11" s="6">
        <v>10</v>
      </c>
      <c r="H11" s="6">
        <v>15</v>
      </c>
      <c r="I11" s="6">
        <v>3</v>
      </c>
      <c r="J11" s="6">
        <v>3</v>
      </c>
      <c r="K11" s="6">
        <v>8</v>
      </c>
      <c r="L11" s="7">
        <f t="shared" si="0"/>
        <v>798</v>
      </c>
    </row>
    <row r="12" spans="1:12" x14ac:dyDescent="0.3">
      <c r="A12" s="8" t="s">
        <v>19</v>
      </c>
      <c r="B12" s="5" t="s">
        <v>23</v>
      </c>
      <c r="C12" s="6">
        <v>751</v>
      </c>
      <c r="D12" s="6">
        <v>12</v>
      </c>
      <c r="E12" s="6">
        <v>17</v>
      </c>
      <c r="F12" s="6">
        <v>9</v>
      </c>
      <c r="G12" s="6">
        <v>5</v>
      </c>
      <c r="H12" s="6">
        <v>6</v>
      </c>
      <c r="I12" s="6">
        <v>2</v>
      </c>
      <c r="J12" s="6">
        <v>4</v>
      </c>
      <c r="K12" s="6">
        <v>4</v>
      </c>
      <c r="L12" s="7">
        <f t="shared" si="0"/>
        <v>810</v>
      </c>
    </row>
    <row r="13" spans="1:12" x14ac:dyDescent="0.3">
      <c r="A13" s="9" t="s">
        <v>24</v>
      </c>
      <c r="B13" s="5" t="s">
        <v>25</v>
      </c>
      <c r="C13" s="6">
        <v>673</v>
      </c>
      <c r="D13" s="6">
        <v>14</v>
      </c>
      <c r="E13" s="6">
        <v>8</v>
      </c>
      <c r="F13" s="6">
        <v>6</v>
      </c>
      <c r="G13" s="6">
        <v>0</v>
      </c>
      <c r="H13" s="6">
        <v>7</v>
      </c>
      <c r="I13" s="6">
        <v>4</v>
      </c>
      <c r="J13" s="6">
        <v>1</v>
      </c>
      <c r="K13" s="6">
        <v>2</v>
      </c>
      <c r="L13" s="7">
        <f t="shared" si="0"/>
        <v>715</v>
      </c>
    </row>
    <row r="14" spans="1:12" x14ac:dyDescent="0.3">
      <c r="A14" s="9" t="s">
        <v>24</v>
      </c>
      <c r="B14" s="5" t="s">
        <v>26</v>
      </c>
      <c r="C14" s="6">
        <v>869</v>
      </c>
      <c r="D14" s="6">
        <v>30</v>
      </c>
      <c r="E14" s="6">
        <v>7</v>
      </c>
      <c r="F14" s="6">
        <v>3</v>
      </c>
      <c r="G14" s="6">
        <v>5</v>
      </c>
      <c r="H14" s="6">
        <v>10</v>
      </c>
      <c r="I14" s="6">
        <v>2</v>
      </c>
      <c r="J14" s="6">
        <v>1</v>
      </c>
      <c r="K14" s="6">
        <v>2</v>
      </c>
      <c r="L14" s="7">
        <f t="shared" si="0"/>
        <v>929</v>
      </c>
    </row>
    <row r="15" spans="1:12" x14ac:dyDescent="0.3">
      <c r="A15" s="9" t="s">
        <v>24</v>
      </c>
      <c r="B15" s="5" t="s">
        <v>27</v>
      </c>
      <c r="C15" s="6">
        <v>408</v>
      </c>
      <c r="D15" s="6">
        <v>12</v>
      </c>
      <c r="E15" s="6">
        <v>0</v>
      </c>
      <c r="F15" s="6">
        <v>1</v>
      </c>
      <c r="G15" s="6">
        <v>5</v>
      </c>
      <c r="H15" s="6">
        <v>2</v>
      </c>
      <c r="I15" s="6">
        <v>1</v>
      </c>
      <c r="J15" s="6">
        <v>0</v>
      </c>
      <c r="K15" s="6">
        <v>8</v>
      </c>
      <c r="L15" s="7">
        <f t="shared" si="0"/>
        <v>437</v>
      </c>
    </row>
    <row r="16" spans="1:12" x14ac:dyDescent="0.3">
      <c r="A16" s="9" t="s">
        <v>24</v>
      </c>
      <c r="B16" s="5" t="s">
        <v>28</v>
      </c>
      <c r="C16" s="6">
        <v>241</v>
      </c>
      <c r="D16" s="6">
        <v>17</v>
      </c>
      <c r="E16" s="6">
        <v>5</v>
      </c>
      <c r="F16" s="6">
        <v>2</v>
      </c>
      <c r="G16" s="6">
        <v>4</v>
      </c>
      <c r="H16" s="6">
        <v>4</v>
      </c>
      <c r="I16" s="6">
        <v>0</v>
      </c>
      <c r="J16" s="6">
        <v>9</v>
      </c>
      <c r="K16" s="6">
        <v>0</v>
      </c>
      <c r="L16" s="7">
        <f t="shared" si="0"/>
        <v>282</v>
      </c>
    </row>
    <row r="17" spans="1:12" x14ac:dyDescent="0.3">
      <c r="A17" s="25" t="s">
        <v>29</v>
      </c>
      <c r="B17" s="25"/>
      <c r="C17" s="7">
        <f t="shared" ref="C17:L17" si="1">SUM(C5:C16)</f>
        <v>7369</v>
      </c>
      <c r="D17" s="7">
        <f t="shared" si="1"/>
        <v>199</v>
      </c>
      <c r="E17" s="7">
        <f t="shared" si="1"/>
        <v>106</v>
      </c>
      <c r="F17" s="7">
        <f t="shared" si="1"/>
        <v>131</v>
      </c>
      <c r="G17" s="7">
        <f t="shared" si="1"/>
        <v>81</v>
      </c>
      <c r="H17" s="7">
        <f t="shared" si="1"/>
        <v>113</v>
      </c>
      <c r="I17" s="7">
        <f t="shared" si="1"/>
        <v>39</v>
      </c>
      <c r="J17" s="7">
        <f t="shared" si="1"/>
        <v>33</v>
      </c>
      <c r="K17" s="7">
        <f t="shared" si="1"/>
        <v>68</v>
      </c>
      <c r="L17" s="7">
        <f t="shared" si="1"/>
        <v>8139</v>
      </c>
    </row>
    <row r="19" spans="1:12" ht="15.6" x14ac:dyDescent="0.3">
      <c r="A19" s="2" t="s">
        <v>30</v>
      </c>
    </row>
    <row r="20" spans="1:12" x14ac:dyDescent="0.3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</row>
    <row r="21" spans="1:12" x14ac:dyDescent="0.3">
      <c r="A21" s="4" t="s">
        <v>14</v>
      </c>
      <c r="B21" s="5" t="s">
        <v>15</v>
      </c>
      <c r="C21" s="10">
        <v>14.643700000000001</v>
      </c>
      <c r="D21" s="10">
        <v>4.931</v>
      </c>
      <c r="E21" s="10">
        <v>0.14940000000000001</v>
      </c>
      <c r="F21" s="10">
        <v>0.3362</v>
      </c>
      <c r="G21" s="10">
        <v>1.2327999999999999</v>
      </c>
      <c r="H21" s="10">
        <v>1.1954</v>
      </c>
      <c r="I21" s="10">
        <v>0.22409999999999999</v>
      </c>
      <c r="J21" s="10">
        <v>0.22409999999999999</v>
      </c>
      <c r="K21" s="10">
        <v>2.4281999999999999</v>
      </c>
      <c r="L21" s="11">
        <f t="shared" ref="L21:L32" si="2">SUM(C21:K21)</f>
        <v>25.364900000000002</v>
      </c>
    </row>
    <row r="22" spans="1:12" x14ac:dyDescent="0.3">
      <c r="A22" s="4" t="s">
        <v>14</v>
      </c>
      <c r="B22" s="5" t="s">
        <v>16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f t="shared" si="2"/>
        <v>0</v>
      </c>
    </row>
    <row r="23" spans="1:12" x14ac:dyDescent="0.3">
      <c r="A23" s="4" t="s">
        <v>14</v>
      </c>
      <c r="B23" s="5" t="s">
        <v>17</v>
      </c>
      <c r="C23" s="10">
        <v>32.3645</v>
      </c>
      <c r="D23" s="10">
        <v>4.2545000000000002</v>
      </c>
      <c r="E23" s="10">
        <v>0.55710000000000004</v>
      </c>
      <c r="F23" s="10">
        <v>0.81040000000000001</v>
      </c>
      <c r="G23" s="10">
        <v>0.60780000000000001</v>
      </c>
      <c r="H23" s="10">
        <v>0.60780000000000001</v>
      </c>
      <c r="I23" s="10">
        <v>0.50649999999999995</v>
      </c>
      <c r="J23" s="10">
        <v>0.3039</v>
      </c>
      <c r="K23" s="10">
        <v>0.25319999999999998</v>
      </c>
      <c r="L23" s="11">
        <f t="shared" si="2"/>
        <v>40.265699999999995</v>
      </c>
    </row>
    <row r="24" spans="1:12" x14ac:dyDescent="0.3">
      <c r="A24" s="4" t="s">
        <v>14</v>
      </c>
      <c r="B24" s="5" t="s">
        <v>18</v>
      </c>
      <c r="C24" s="10">
        <v>29.484999999999999</v>
      </c>
      <c r="D24" s="10">
        <v>11.551600000000001</v>
      </c>
      <c r="E24" s="10">
        <v>0.46350000000000002</v>
      </c>
      <c r="F24" s="10">
        <v>0.6774</v>
      </c>
      <c r="G24" s="10">
        <v>0.96260000000000001</v>
      </c>
      <c r="H24" s="10">
        <v>1.0696000000000001</v>
      </c>
      <c r="I24" s="10">
        <v>0.35649999999999998</v>
      </c>
      <c r="J24" s="10">
        <v>0.21390000000000001</v>
      </c>
      <c r="K24" s="10">
        <v>0.89129999999999998</v>
      </c>
      <c r="L24" s="11">
        <f t="shared" si="2"/>
        <v>45.671400000000006</v>
      </c>
    </row>
    <row r="25" spans="1:12" x14ac:dyDescent="0.3">
      <c r="A25" s="8" t="s">
        <v>19</v>
      </c>
      <c r="B25" s="5" t="s">
        <v>20</v>
      </c>
      <c r="C25" s="10">
        <v>28.993099999999998</v>
      </c>
      <c r="D25" s="10">
        <v>5.2476000000000003</v>
      </c>
      <c r="E25" s="10">
        <v>0.26240000000000002</v>
      </c>
      <c r="F25" s="10">
        <v>0.61219999999999997</v>
      </c>
      <c r="G25" s="10">
        <v>0.65600000000000003</v>
      </c>
      <c r="H25" s="10">
        <v>1.0495000000000001</v>
      </c>
      <c r="I25" s="10">
        <v>0.3498</v>
      </c>
      <c r="J25" s="10">
        <v>1.3119000000000001</v>
      </c>
      <c r="K25" s="10">
        <v>0</v>
      </c>
      <c r="L25" s="11">
        <f t="shared" si="2"/>
        <v>38.482500000000002</v>
      </c>
    </row>
    <row r="26" spans="1:12" x14ac:dyDescent="0.3">
      <c r="A26" s="8" t="s">
        <v>19</v>
      </c>
      <c r="B26" s="5" t="s">
        <v>21</v>
      </c>
      <c r="C26" s="10">
        <v>31.633900000000001</v>
      </c>
      <c r="D26" s="10">
        <v>7.3978999999999999</v>
      </c>
      <c r="E26" s="10">
        <v>0.73209999999999997</v>
      </c>
      <c r="F26" s="10">
        <v>0.84770000000000001</v>
      </c>
      <c r="G26" s="10">
        <v>0.92469999999999997</v>
      </c>
      <c r="H26" s="10">
        <v>0.92469999999999997</v>
      </c>
      <c r="I26" s="10">
        <v>0.30819999999999997</v>
      </c>
      <c r="J26" s="10">
        <v>0.69359999999999999</v>
      </c>
      <c r="K26" s="10">
        <v>0.57799999999999996</v>
      </c>
      <c r="L26" s="11">
        <f t="shared" si="2"/>
        <v>44.040800000000019</v>
      </c>
    </row>
    <row r="27" spans="1:12" x14ac:dyDescent="0.3">
      <c r="A27" s="8" t="s">
        <v>19</v>
      </c>
      <c r="B27" s="5" t="s">
        <v>22</v>
      </c>
      <c r="C27" s="10">
        <v>25.246400000000001</v>
      </c>
      <c r="D27" s="10">
        <v>12.1183</v>
      </c>
      <c r="E27" s="10">
        <v>0.36070000000000002</v>
      </c>
      <c r="F27" s="10">
        <v>0.75739999999999996</v>
      </c>
      <c r="G27" s="10">
        <v>1.0820000000000001</v>
      </c>
      <c r="H27" s="10">
        <v>1.0820000000000001</v>
      </c>
      <c r="I27" s="10">
        <v>0.21640000000000001</v>
      </c>
      <c r="J27" s="10">
        <v>0.6492</v>
      </c>
      <c r="K27" s="10">
        <v>1.4427000000000001</v>
      </c>
      <c r="L27" s="11">
        <f t="shared" si="2"/>
        <v>42.955100000000002</v>
      </c>
    </row>
    <row r="28" spans="1:12" x14ac:dyDescent="0.3">
      <c r="A28" s="8" t="s">
        <v>19</v>
      </c>
      <c r="B28" s="5" t="s">
        <v>23</v>
      </c>
      <c r="C28" s="10">
        <v>37.2744</v>
      </c>
      <c r="D28" s="10">
        <v>7.1471999999999998</v>
      </c>
      <c r="E28" s="10">
        <v>0.84379999999999999</v>
      </c>
      <c r="F28" s="10">
        <v>0.44669999999999999</v>
      </c>
      <c r="G28" s="10">
        <v>0.74450000000000005</v>
      </c>
      <c r="H28" s="10">
        <v>0.59560000000000002</v>
      </c>
      <c r="I28" s="10">
        <v>0.19850000000000001</v>
      </c>
      <c r="J28" s="10">
        <v>1.1912</v>
      </c>
      <c r="K28" s="10">
        <v>0.99270000000000003</v>
      </c>
      <c r="L28" s="11">
        <f t="shared" si="2"/>
        <v>49.434600000000003</v>
      </c>
    </row>
    <row r="29" spans="1:12" x14ac:dyDescent="0.3">
      <c r="A29" s="9" t="s">
        <v>24</v>
      </c>
      <c r="B29" s="5" t="s">
        <v>25</v>
      </c>
      <c r="C29" s="10">
        <v>32.417900000000003</v>
      </c>
      <c r="D29" s="10">
        <v>8.0923999999999996</v>
      </c>
      <c r="E29" s="10">
        <v>0.38540000000000002</v>
      </c>
      <c r="F29" s="10">
        <v>0.28899999999999998</v>
      </c>
      <c r="G29" s="10">
        <v>0</v>
      </c>
      <c r="H29" s="10">
        <v>0.6744</v>
      </c>
      <c r="I29" s="10">
        <v>0.38540000000000002</v>
      </c>
      <c r="J29" s="10">
        <v>0.28899999999999998</v>
      </c>
      <c r="K29" s="10">
        <v>0.48170000000000002</v>
      </c>
      <c r="L29" s="11">
        <f t="shared" si="2"/>
        <v>43.015199999999993</v>
      </c>
    </row>
    <row r="30" spans="1:12" x14ac:dyDescent="0.3">
      <c r="A30" s="9" t="s">
        <v>24</v>
      </c>
      <c r="B30" s="5" t="s">
        <v>26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1">
        <f t="shared" si="2"/>
        <v>0</v>
      </c>
    </row>
    <row r="31" spans="1:12" x14ac:dyDescent="0.3">
      <c r="A31" s="9" t="s">
        <v>24</v>
      </c>
      <c r="B31" s="5" t="s">
        <v>27</v>
      </c>
      <c r="C31" s="10">
        <v>22.490300000000001</v>
      </c>
      <c r="D31" s="10">
        <v>7.9377000000000004</v>
      </c>
      <c r="E31" s="10">
        <v>0</v>
      </c>
      <c r="F31" s="10">
        <v>5.5100000000000003E-2</v>
      </c>
      <c r="G31" s="10">
        <v>0.82679999999999998</v>
      </c>
      <c r="H31" s="10">
        <v>0.2205</v>
      </c>
      <c r="I31" s="10">
        <v>0.11020000000000001</v>
      </c>
      <c r="J31" s="10">
        <v>0</v>
      </c>
      <c r="K31" s="10">
        <v>2.2048999999999999</v>
      </c>
      <c r="L31" s="11">
        <f t="shared" si="2"/>
        <v>33.845500000000001</v>
      </c>
    </row>
    <row r="32" spans="1:12" x14ac:dyDescent="0.3">
      <c r="A32" s="9" t="s">
        <v>24</v>
      </c>
      <c r="B32" s="5" t="s">
        <v>28</v>
      </c>
      <c r="C32" s="10">
        <v>12.232799999999999</v>
      </c>
      <c r="D32" s="10">
        <v>10.354799999999999</v>
      </c>
      <c r="E32" s="10">
        <v>0.25380000000000003</v>
      </c>
      <c r="F32" s="10">
        <v>0.10150000000000001</v>
      </c>
      <c r="G32" s="10">
        <v>0.60909999999999997</v>
      </c>
      <c r="H32" s="10">
        <v>0.40610000000000002</v>
      </c>
      <c r="I32" s="10">
        <v>0</v>
      </c>
      <c r="J32" s="10">
        <v>2.7410000000000001</v>
      </c>
      <c r="K32" s="10">
        <v>0</v>
      </c>
      <c r="L32" s="11">
        <f t="shared" si="2"/>
        <v>26.699100000000001</v>
      </c>
    </row>
    <row r="33" spans="1:12" x14ac:dyDescent="0.3">
      <c r="A33" s="25" t="s">
        <v>29</v>
      </c>
      <c r="B33" s="25"/>
      <c r="C33" s="11">
        <f t="shared" ref="C33:L33" si="3">SUM(C21:C32)</f>
        <v>266.78200000000004</v>
      </c>
      <c r="D33" s="11">
        <f t="shared" si="3"/>
        <v>79.033000000000001</v>
      </c>
      <c r="E33" s="11">
        <f t="shared" si="3"/>
        <v>4.0082000000000004</v>
      </c>
      <c r="F33" s="11">
        <f t="shared" si="3"/>
        <v>4.9335999999999993</v>
      </c>
      <c r="G33" s="11">
        <f t="shared" si="3"/>
        <v>7.6463000000000001</v>
      </c>
      <c r="H33" s="11">
        <f t="shared" si="3"/>
        <v>7.8256000000000006</v>
      </c>
      <c r="I33" s="11">
        <f t="shared" si="3"/>
        <v>2.6556000000000002</v>
      </c>
      <c r="J33" s="11">
        <f t="shared" si="3"/>
        <v>7.617799999999999</v>
      </c>
      <c r="K33" s="11">
        <f t="shared" si="3"/>
        <v>9.2727000000000004</v>
      </c>
      <c r="L33" s="11">
        <f t="shared" si="3"/>
        <v>389.77480000000003</v>
      </c>
    </row>
    <row r="35" spans="1:12" ht="15.6" x14ac:dyDescent="0.3">
      <c r="A35" s="2" t="s">
        <v>31</v>
      </c>
    </row>
    <row r="36" spans="1:1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  <c r="L36" s="3" t="s">
        <v>13</v>
      </c>
    </row>
    <row r="37" spans="1:12" x14ac:dyDescent="0.3">
      <c r="A37" s="4" t="s">
        <v>14</v>
      </c>
      <c r="B37" s="5" t="s">
        <v>15</v>
      </c>
      <c r="C37" s="10">
        <v>0</v>
      </c>
      <c r="D37" s="10">
        <v>47.545299999999997</v>
      </c>
      <c r="E37" s="10">
        <v>0</v>
      </c>
      <c r="F37" s="10">
        <v>0</v>
      </c>
      <c r="G37" s="10">
        <v>34.235500000000002</v>
      </c>
      <c r="H37" s="10">
        <v>17.509899999999998</v>
      </c>
      <c r="I37" s="10">
        <v>15.138500000000001</v>
      </c>
      <c r="J37" s="10">
        <v>4.6836000000000002</v>
      </c>
      <c r="K37" s="10">
        <v>3.5999999999999997E-2</v>
      </c>
      <c r="L37" s="11">
        <f t="shared" ref="L37:L48" si="4">SUM(C37:K37)</f>
        <v>119.14880000000001</v>
      </c>
    </row>
    <row r="38" spans="1:12" x14ac:dyDescent="0.3">
      <c r="A38" s="4" t="s">
        <v>14</v>
      </c>
      <c r="B38" s="5" t="s">
        <v>16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f t="shared" si="4"/>
        <v>0</v>
      </c>
    </row>
    <row r="39" spans="1:12" x14ac:dyDescent="0.3">
      <c r="A39" s="4" t="s">
        <v>14</v>
      </c>
      <c r="B39" s="5" t="s">
        <v>17</v>
      </c>
      <c r="C39" s="10">
        <v>0</v>
      </c>
      <c r="D39" s="10">
        <v>58.159100000000002</v>
      </c>
      <c r="E39" s="10">
        <v>0</v>
      </c>
      <c r="F39" s="10">
        <v>0</v>
      </c>
      <c r="G39" s="10">
        <v>23.930299999999999</v>
      </c>
      <c r="H39" s="10">
        <v>12.6218</v>
      </c>
      <c r="I39" s="10">
        <v>48.499600000000001</v>
      </c>
      <c r="J39" s="10">
        <v>9.0029000000000003</v>
      </c>
      <c r="K39" s="10">
        <v>5.3E-3</v>
      </c>
      <c r="L39" s="11">
        <f t="shared" si="4"/>
        <v>152.21900000000002</v>
      </c>
    </row>
    <row r="40" spans="1:12" x14ac:dyDescent="0.3">
      <c r="A40" s="4" t="s">
        <v>14</v>
      </c>
      <c r="B40" s="5" t="s">
        <v>18</v>
      </c>
      <c r="C40" s="10">
        <v>0</v>
      </c>
      <c r="D40" s="10">
        <v>24.401700000000002</v>
      </c>
      <c r="E40" s="10">
        <v>0</v>
      </c>
      <c r="F40" s="10">
        <v>0</v>
      </c>
      <c r="G40" s="10">
        <v>5.8569000000000004</v>
      </c>
      <c r="H40" s="10">
        <v>3.4323999999999999</v>
      </c>
      <c r="I40" s="10">
        <v>5.2755999999999998</v>
      </c>
      <c r="J40" s="10">
        <v>0.97929999999999995</v>
      </c>
      <c r="K40" s="10">
        <v>2.8999999999999998E-3</v>
      </c>
      <c r="L40" s="11">
        <f t="shared" si="4"/>
        <v>39.948799999999999</v>
      </c>
    </row>
    <row r="41" spans="1:12" x14ac:dyDescent="0.3">
      <c r="A41" s="8" t="s">
        <v>19</v>
      </c>
      <c r="B41" s="5" t="s">
        <v>20</v>
      </c>
      <c r="C41" s="10">
        <v>0</v>
      </c>
      <c r="D41" s="10">
        <v>42.726500000000001</v>
      </c>
      <c r="E41" s="10">
        <v>0</v>
      </c>
      <c r="F41" s="10">
        <v>0</v>
      </c>
      <c r="G41" s="10">
        <v>15.3828</v>
      </c>
      <c r="H41" s="10">
        <v>12.9816</v>
      </c>
      <c r="I41" s="10">
        <v>19.9529</v>
      </c>
      <c r="J41" s="10">
        <v>23.148900000000001</v>
      </c>
      <c r="K41" s="10">
        <v>0</v>
      </c>
      <c r="L41" s="11">
        <f t="shared" si="4"/>
        <v>114.1927</v>
      </c>
    </row>
    <row r="42" spans="1:12" x14ac:dyDescent="0.3">
      <c r="A42" s="8" t="s">
        <v>19</v>
      </c>
      <c r="B42" s="5" t="s">
        <v>21</v>
      </c>
      <c r="C42" s="10">
        <v>0</v>
      </c>
      <c r="D42" s="10">
        <v>30.909600000000001</v>
      </c>
      <c r="E42" s="10">
        <v>0</v>
      </c>
      <c r="F42" s="10">
        <v>0</v>
      </c>
      <c r="G42" s="10">
        <v>11.128399999999999</v>
      </c>
      <c r="H42" s="10">
        <v>5.8695000000000004</v>
      </c>
      <c r="I42" s="10">
        <v>9.0215999999999994</v>
      </c>
      <c r="J42" s="10">
        <v>6.28</v>
      </c>
      <c r="K42" s="10">
        <v>3.7000000000000002E-3</v>
      </c>
      <c r="L42" s="11">
        <f t="shared" si="4"/>
        <v>63.212800000000001</v>
      </c>
    </row>
    <row r="43" spans="1:12" x14ac:dyDescent="0.3">
      <c r="A43" s="8" t="s">
        <v>19</v>
      </c>
      <c r="B43" s="5" t="s">
        <v>22</v>
      </c>
      <c r="C43" s="10">
        <v>0</v>
      </c>
      <c r="D43" s="10">
        <v>24.040099999999999</v>
      </c>
      <c r="E43" s="10">
        <v>0</v>
      </c>
      <c r="F43" s="10">
        <v>0</v>
      </c>
      <c r="G43" s="10">
        <v>6.1822999999999997</v>
      </c>
      <c r="H43" s="10">
        <v>3.2608000000000001</v>
      </c>
      <c r="I43" s="10">
        <v>3.0070999999999999</v>
      </c>
      <c r="J43" s="10">
        <v>2.7909999999999999</v>
      </c>
      <c r="K43" s="10">
        <v>4.4000000000000003E-3</v>
      </c>
      <c r="L43" s="11">
        <f t="shared" si="4"/>
        <v>39.285699999999999</v>
      </c>
    </row>
    <row r="44" spans="1:12" x14ac:dyDescent="0.3">
      <c r="A44" s="8" t="s">
        <v>19</v>
      </c>
      <c r="B44" s="5" t="s">
        <v>23</v>
      </c>
      <c r="C44" s="10">
        <v>0</v>
      </c>
      <c r="D44" s="10">
        <v>17.343599999999999</v>
      </c>
      <c r="E44" s="10">
        <v>0</v>
      </c>
      <c r="F44" s="10">
        <v>0</v>
      </c>
      <c r="G44" s="10">
        <v>5.2035</v>
      </c>
      <c r="H44" s="10">
        <v>2.1956000000000002</v>
      </c>
      <c r="I44" s="10">
        <v>3.3746999999999998</v>
      </c>
      <c r="J44" s="10">
        <v>6.2644000000000002</v>
      </c>
      <c r="K44" s="10">
        <v>3.7000000000000002E-3</v>
      </c>
      <c r="L44" s="11">
        <f t="shared" si="4"/>
        <v>34.3855</v>
      </c>
    </row>
    <row r="45" spans="1:12" x14ac:dyDescent="0.3">
      <c r="A45" s="9" t="s">
        <v>24</v>
      </c>
      <c r="B45" s="5" t="s">
        <v>25</v>
      </c>
      <c r="C45" s="10">
        <v>0</v>
      </c>
      <c r="D45" s="10">
        <v>76.600200000000001</v>
      </c>
      <c r="E45" s="10">
        <v>0</v>
      </c>
      <c r="F45" s="10">
        <v>0</v>
      </c>
      <c r="G45" s="10">
        <v>0</v>
      </c>
      <c r="H45" s="10">
        <v>9.6973000000000003</v>
      </c>
      <c r="I45" s="10">
        <v>25.551200000000001</v>
      </c>
      <c r="J45" s="10">
        <v>5.9287999999999998</v>
      </c>
      <c r="K45" s="10">
        <v>7.0000000000000001E-3</v>
      </c>
      <c r="L45" s="11">
        <f t="shared" si="4"/>
        <v>117.78450000000001</v>
      </c>
    </row>
    <row r="46" spans="1:12" x14ac:dyDescent="0.3">
      <c r="A46" s="9" t="s">
        <v>24</v>
      </c>
      <c r="B46" s="5" t="s">
        <v>26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1">
        <f t="shared" si="4"/>
        <v>0</v>
      </c>
    </row>
    <row r="47" spans="1:12" x14ac:dyDescent="0.3">
      <c r="A47" s="9" t="s">
        <v>24</v>
      </c>
      <c r="B47" s="5" t="s">
        <v>27</v>
      </c>
      <c r="C47" s="10">
        <v>0</v>
      </c>
      <c r="D47" s="10">
        <v>65.408500000000004</v>
      </c>
      <c r="E47" s="10">
        <v>0</v>
      </c>
      <c r="F47" s="10">
        <v>0</v>
      </c>
      <c r="G47" s="10">
        <v>19.624199999999998</v>
      </c>
      <c r="H47" s="10">
        <v>2.7601</v>
      </c>
      <c r="I47" s="10">
        <v>6.3635999999999999</v>
      </c>
      <c r="J47" s="10">
        <v>0</v>
      </c>
      <c r="K47" s="10">
        <v>2.7900000000000001E-2</v>
      </c>
      <c r="L47" s="11">
        <f t="shared" si="4"/>
        <v>94.184300000000007</v>
      </c>
    </row>
    <row r="48" spans="1:12" x14ac:dyDescent="0.3">
      <c r="A48" s="9" t="s">
        <v>24</v>
      </c>
      <c r="B48" s="5" t="s">
        <v>28</v>
      </c>
      <c r="C48" s="10">
        <v>0</v>
      </c>
      <c r="D48" s="10">
        <v>14.329599999999999</v>
      </c>
      <c r="E48" s="10">
        <v>0</v>
      </c>
      <c r="F48" s="10">
        <v>0</v>
      </c>
      <c r="G48" s="10">
        <v>2.4278</v>
      </c>
      <c r="H48" s="10">
        <v>0.85370000000000001</v>
      </c>
      <c r="I48" s="10">
        <v>0</v>
      </c>
      <c r="J48" s="10">
        <v>8.2203999999999997</v>
      </c>
      <c r="K48" s="10">
        <v>0</v>
      </c>
      <c r="L48" s="11">
        <f t="shared" si="4"/>
        <v>25.831499999999998</v>
      </c>
    </row>
    <row r="49" spans="1:12" x14ac:dyDescent="0.3">
      <c r="A49" s="25" t="s">
        <v>29</v>
      </c>
      <c r="B49" s="25"/>
      <c r="C49" s="11">
        <f t="shared" ref="C49:L49" si="5">SUM(C37:C48)</f>
        <v>0</v>
      </c>
      <c r="D49" s="11">
        <f t="shared" si="5"/>
        <v>401.46420000000001</v>
      </c>
      <c r="E49" s="11">
        <f t="shared" si="5"/>
        <v>0</v>
      </c>
      <c r="F49" s="11">
        <f t="shared" si="5"/>
        <v>0</v>
      </c>
      <c r="G49" s="11">
        <f t="shared" si="5"/>
        <v>123.97170000000001</v>
      </c>
      <c r="H49" s="11">
        <f t="shared" si="5"/>
        <v>71.182699999999997</v>
      </c>
      <c r="I49" s="11">
        <f t="shared" si="5"/>
        <v>136.1848</v>
      </c>
      <c r="J49" s="11">
        <f t="shared" si="5"/>
        <v>67.299300000000002</v>
      </c>
      <c r="K49" s="11">
        <f t="shared" si="5"/>
        <v>9.0900000000000009E-2</v>
      </c>
      <c r="L49" s="11">
        <f t="shared" si="5"/>
        <v>800.19360000000006</v>
      </c>
    </row>
    <row r="51" spans="1:12" ht="15.6" x14ac:dyDescent="0.3">
      <c r="A51" s="2" t="s">
        <v>32</v>
      </c>
    </row>
    <row r="52" spans="1:12" x14ac:dyDescent="0.3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</row>
    <row r="53" spans="1:12" x14ac:dyDescent="0.3">
      <c r="A53" s="4" t="s">
        <v>14</v>
      </c>
      <c r="B53" s="5" t="s">
        <v>15</v>
      </c>
      <c r="C53" s="10">
        <v>9.4429999999999996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f t="shared" ref="L53:L64" si="6">SUM(C53:K53)</f>
        <v>9.4429999999999996</v>
      </c>
    </row>
    <row r="54" spans="1:12" x14ac:dyDescent="0.3">
      <c r="A54" s="4" t="s">
        <v>14</v>
      </c>
      <c r="B54" s="5" t="s">
        <v>16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f t="shared" si="6"/>
        <v>0</v>
      </c>
    </row>
    <row r="55" spans="1:12" x14ac:dyDescent="0.3">
      <c r="A55" s="4" t="s">
        <v>14</v>
      </c>
      <c r="B55" s="5" t="s">
        <v>17</v>
      </c>
      <c r="C55" s="10">
        <v>29.588899999999999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f t="shared" si="6"/>
        <v>29.588899999999999</v>
      </c>
    </row>
    <row r="56" spans="1:12" x14ac:dyDescent="0.3">
      <c r="A56" s="4" t="s">
        <v>14</v>
      </c>
      <c r="B56" s="5" t="s">
        <v>18</v>
      </c>
      <c r="C56" s="10">
        <v>4.1654999999999998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6"/>
        <v>4.1654999999999998</v>
      </c>
    </row>
    <row r="57" spans="1:12" x14ac:dyDescent="0.3">
      <c r="A57" s="8" t="s">
        <v>19</v>
      </c>
      <c r="B57" s="5" t="s">
        <v>20</v>
      </c>
      <c r="C57" s="10">
        <v>15.787699999999999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f t="shared" si="6"/>
        <v>15.787699999999999</v>
      </c>
    </row>
    <row r="58" spans="1:12" x14ac:dyDescent="0.3">
      <c r="A58" s="8" t="s">
        <v>19</v>
      </c>
      <c r="B58" s="5" t="s">
        <v>21</v>
      </c>
      <c r="C58" s="10">
        <v>8.8393999999999995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f t="shared" si="6"/>
        <v>8.8393999999999995</v>
      </c>
    </row>
    <row r="59" spans="1:12" x14ac:dyDescent="0.3">
      <c r="A59" s="8" t="s">
        <v>19</v>
      </c>
      <c r="B59" s="5" t="s">
        <v>22</v>
      </c>
      <c r="C59" s="10">
        <v>3.3494999999999999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f t="shared" si="6"/>
        <v>3.3494999999999999</v>
      </c>
    </row>
    <row r="60" spans="1:12" x14ac:dyDescent="0.3">
      <c r="A60" s="8" t="s">
        <v>19</v>
      </c>
      <c r="B60" s="5" t="s">
        <v>23</v>
      </c>
      <c r="C60" s="10">
        <v>6.0492999999999997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f t="shared" si="6"/>
        <v>6.0492999999999997</v>
      </c>
    </row>
    <row r="61" spans="1:12" x14ac:dyDescent="0.3">
      <c r="A61" s="9" t="s">
        <v>24</v>
      </c>
      <c r="B61" s="5" t="s">
        <v>25</v>
      </c>
      <c r="C61" s="10">
        <v>20.522300000000001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f t="shared" si="6"/>
        <v>20.522300000000001</v>
      </c>
    </row>
    <row r="62" spans="1:12" x14ac:dyDescent="0.3">
      <c r="A62" s="9" t="s">
        <v>24</v>
      </c>
      <c r="B62" s="5" t="s">
        <v>26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f t="shared" si="6"/>
        <v>0</v>
      </c>
    </row>
    <row r="63" spans="1:12" x14ac:dyDescent="0.3">
      <c r="A63" s="9" t="s">
        <v>24</v>
      </c>
      <c r="B63" s="5" t="s">
        <v>27</v>
      </c>
      <c r="C63" s="10">
        <v>12.394299999999999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f t="shared" si="6"/>
        <v>12.394299999999999</v>
      </c>
    </row>
    <row r="64" spans="1:12" x14ac:dyDescent="0.3">
      <c r="A64" s="9" t="s">
        <v>24</v>
      </c>
      <c r="B64" s="5" t="s">
        <v>28</v>
      </c>
      <c r="C64" s="10">
        <v>1.1322000000000001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f t="shared" si="6"/>
        <v>1.1322000000000001</v>
      </c>
    </row>
    <row r="65" spans="1:12" x14ac:dyDescent="0.3">
      <c r="A65" s="25" t="s">
        <v>29</v>
      </c>
      <c r="B65" s="25"/>
      <c r="C65" s="11">
        <f t="shared" ref="C65:L65" si="7">SUM(C53:C64)</f>
        <v>111.27210000000001</v>
      </c>
      <c r="D65" s="11">
        <f t="shared" si="7"/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si="7"/>
        <v>0</v>
      </c>
      <c r="J65" s="11">
        <f t="shared" si="7"/>
        <v>0</v>
      </c>
      <c r="K65" s="11">
        <f t="shared" si="7"/>
        <v>0</v>
      </c>
      <c r="L65" s="11">
        <f t="shared" si="7"/>
        <v>111.27210000000001</v>
      </c>
    </row>
    <row r="67" spans="1:12" ht="15.6" x14ac:dyDescent="0.3">
      <c r="A67" s="2" t="s">
        <v>33</v>
      </c>
    </row>
    <row r="68" spans="1:12" x14ac:dyDescent="0.3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</row>
    <row r="69" spans="1:12" x14ac:dyDescent="0.3">
      <c r="A69" s="4" t="s">
        <v>14</v>
      </c>
      <c r="B69" s="5" t="s">
        <v>15</v>
      </c>
      <c r="C69" s="10">
        <v>0</v>
      </c>
      <c r="D69" s="10">
        <v>5.0266000000000002</v>
      </c>
      <c r="E69" s="10">
        <v>0</v>
      </c>
      <c r="F69" s="10">
        <v>0</v>
      </c>
      <c r="G69" s="10">
        <v>17.732099999999999</v>
      </c>
      <c r="H69" s="10">
        <v>1.9781</v>
      </c>
      <c r="I69" s="10">
        <v>13.719900000000001</v>
      </c>
      <c r="J69" s="10">
        <v>3.1598999999999999</v>
      </c>
      <c r="K69" s="10">
        <v>7.3349000000000002</v>
      </c>
      <c r="L69" s="11">
        <f t="shared" ref="L69:L80" si="8">SUM(C69:K69)</f>
        <v>48.951499999999996</v>
      </c>
    </row>
    <row r="70" spans="1:12" x14ac:dyDescent="0.3">
      <c r="A70" s="4" t="s">
        <v>14</v>
      </c>
      <c r="B70" s="5" t="s">
        <v>16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1">
        <f t="shared" si="8"/>
        <v>0</v>
      </c>
    </row>
    <row r="71" spans="1:12" x14ac:dyDescent="0.3">
      <c r="A71" s="4" t="s">
        <v>14</v>
      </c>
      <c r="B71" s="5" t="s">
        <v>17</v>
      </c>
      <c r="C71" s="10">
        <v>0</v>
      </c>
      <c r="D71" s="10">
        <v>6.1486999999999998</v>
      </c>
      <c r="E71" s="10">
        <v>0</v>
      </c>
      <c r="F71" s="10">
        <v>0</v>
      </c>
      <c r="G71" s="10">
        <v>12.394600000000001</v>
      </c>
      <c r="H71" s="10">
        <v>1.4258999999999999</v>
      </c>
      <c r="I71" s="10">
        <v>43.954500000000003</v>
      </c>
      <c r="J71" s="10">
        <v>6.0739999999999998</v>
      </c>
      <c r="K71" s="10">
        <v>1.0846</v>
      </c>
      <c r="L71" s="11">
        <f t="shared" si="8"/>
        <v>71.082300000000004</v>
      </c>
    </row>
    <row r="72" spans="1:12" x14ac:dyDescent="0.3">
      <c r="A72" s="4" t="s">
        <v>14</v>
      </c>
      <c r="B72" s="5" t="s">
        <v>18</v>
      </c>
      <c r="C72" s="10">
        <v>0</v>
      </c>
      <c r="D72" s="10">
        <v>2.5798000000000001</v>
      </c>
      <c r="E72" s="10">
        <v>0</v>
      </c>
      <c r="F72" s="10">
        <v>0</v>
      </c>
      <c r="G72" s="10">
        <v>3.0335999999999999</v>
      </c>
      <c r="H72" s="10">
        <v>0.38779999999999998</v>
      </c>
      <c r="I72" s="10">
        <v>4.7812000000000001</v>
      </c>
      <c r="J72" s="10">
        <v>0.66069999999999995</v>
      </c>
      <c r="K72" s="10">
        <v>0.58989999999999998</v>
      </c>
      <c r="L72" s="11">
        <f t="shared" si="8"/>
        <v>12.033000000000001</v>
      </c>
    </row>
    <row r="73" spans="1:12" x14ac:dyDescent="0.3">
      <c r="A73" s="8" t="s">
        <v>19</v>
      </c>
      <c r="B73" s="5" t="s">
        <v>20</v>
      </c>
      <c r="C73" s="10">
        <v>0</v>
      </c>
      <c r="D73" s="10">
        <v>4.5171999999999999</v>
      </c>
      <c r="E73" s="10">
        <v>0</v>
      </c>
      <c r="F73" s="10">
        <v>0</v>
      </c>
      <c r="G73" s="10">
        <v>7.9675000000000002</v>
      </c>
      <c r="H73" s="10">
        <v>1.4664999999999999</v>
      </c>
      <c r="I73" s="10">
        <v>18.082999999999998</v>
      </c>
      <c r="J73" s="10">
        <v>15.617900000000001</v>
      </c>
      <c r="K73" s="10">
        <v>0</v>
      </c>
      <c r="L73" s="11">
        <f t="shared" si="8"/>
        <v>47.652099999999997</v>
      </c>
    </row>
    <row r="74" spans="1:12" x14ac:dyDescent="0.3">
      <c r="A74" s="8" t="s">
        <v>19</v>
      </c>
      <c r="B74" s="5" t="s">
        <v>21</v>
      </c>
      <c r="C74" s="10">
        <v>0</v>
      </c>
      <c r="D74" s="10">
        <v>3.2677999999999998</v>
      </c>
      <c r="E74" s="10">
        <v>0</v>
      </c>
      <c r="F74" s="10">
        <v>0</v>
      </c>
      <c r="G74" s="10">
        <v>5.7638999999999996</v>
      </c>
      <c r="H74" s="10">
        <v>0.66310000000000002</v>
      </c>
      <c r="I74" s="10">
        <v>8.1760999999999999</v>
      </c>
      <c r="J74" s="10">
        <v>4.2369000000000003</v>
      </c>
      <c r="K74" s="10">
        <v>0.75649999999999995</v>
      </c>
      <c r="L74" s="11">
        <f t="shared" si="8"/>
        <v>22.864299999999997</v>
      </c>
    </row>
    <row r="75" spans="1:12" x14ac:dyDescent="0.3">
      <c r="A75" s="8" t="s">
        <v>19</v>
      </c>
      <c r="B75" s="5" t="s">
        <v>22</v>
      </c>
      <c r="C75" s="10">
        <v>0</v>
      </c>
      <c r="D75" s="10">
        <v>2.5415999999999999</v>
      </c>
      <c r="E75" s="10">
        <v>0</v>
      </c>
      <c r="F75" s="10">
        <v>0</v>
      </c>
      <c r="G75" s="10">
        <v>3.2021000000000002</v>
      </c>
      <c r="H75" s="10">
        <v>0.36840000000000001</v>
      </c>
      <c r="I75" s="10">
        <v>2.7252999999999998</v>
      </c>
      <c r="J75" s="10">
        <v>1.883</v>
      </c>
      <c r="K75" s="10">
        <v>0.89659999999999995</v>
      </c>
      <c r="L75" s="11">
        <f t="shared" si="8"/>
        <v>11.617000000000001</v>
      </c>
    </row>
    <row r="76" spans="1:12" x14ac:dyDescent="0.3">
      <c r="A76" s="8" t="s">
        <v>19</v>
      </c>
      <c r="B76" s="5" t="s">
        <v>23</v>
      </c>
      <c r="C76" s="10">
        <v>0</v>
      </c>
      <c r="D76" s="10">
        <v>1.8335999999999999</v>
      </c>
      <c r="E76" s="10">
        <v>0</v>
      </c>
      <c r="F76" s="10">
        <v>0</v>
      </c>
      <c r="G76" s="10">
        <v>2.6951000000000001</v>
      </c>
      <c r="H76" s="10">
        <v>0.248</v>
      </c>
      <c r="I76" s="10">
        <v>3.0583999999999998</v>
      </c>
      <c r="J76" s="10">
        <v>4.2263999999999999</v>
      </c>
      <c r="K76" s="10">
        <v>0.75470000000000004</v>
      </c>
      <c r="L76" s="11">
        <f t="shared" si="8"/>
        <v>12.816199999999998</v>
      </c>
    </row>
    <row r="77" spans="1:12" x14ac:dyDescent="0.3">
      <c r="A77" s="9" t="s">
        <v>24</v>
      </c>
      <c r="B77" s="5" t="s">
        <v>25</v>
      </c>
      <c r="C77" s="10">
        <v>0</v>
      </c>
      <c r="D77" s="10">
        <v>8.0983999999999998</v>
      </c>
      <c r="E77" s="10">
        <v>0</v>
      </c>
      <c r="F77" s="10">
        <v>0</v>
      </c>
      <c r="G77" s="10">
        <v>0</v>
      </c>
      <c r="H77" s="10">
        <v>1.0954999999999999</v>
      </c>
      <c r="I77" s="10">
        <v>23.156700000000001</v>
      </c>
      <c r="J77" s="10">
        <v>4</v>
      </c>
      <c r="K77" s="10">
        <v>1.4285000000000001</v>
      </c>
      <c r="L77" s="11">
        <f t="shared" si="8"/>
        <v>37.7791</v>
      </c>
    </row>
    <row r="78" spans="1:12" x14ac:dyDescent="0.3">
      <c r="A78" s="9" t="s">
        <v>24</v>
      </c>
      <c r="B78" s="5" t="s">
        <v>26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1">
        <f t="shared" si="8"/>
        <v>0</v>
      </c>
    </row>
    <row r="79" spans="1:12" x14ac:dyDescent="0.3">
      <c r="A79" s="9" t="s">
        <v>24</v>
      </c>
      <c r="B79" s="5" t="s">
        <v>27</v>
      </c>
      <c r="C79" s="10">
        <v>0</v>
      </c>
      <c r="D79" s="10">
        <v>6.9151999999999996</v>
      </c>
      <c r="E79" s="10">
        <v>0</v>
      </c>
      <c r="F79" s="10">
        <v>0</v>
      </c>
      <c r="G79" s="10">
        <v>10.164199999999999</v>
      </c>
      <c r="H79" s="10">
        <v>0.31180000000000002</v>
      </c>
      <c r="I79" s="10">
        <v>5.7671999999999999</v>
      </c>
      <c r="J79" s="10">
        <v>0</v>
      </c>
      <c r="K79" s="10">
        <v>5.6920999999999999</v>
      </c>
      <c r="L79" s="11">
        <f t="shared" si="8"/>
        <v>28.8505</v>
      </c>
    </row>
    <row r="80" spans="1:12" x14ac:dyDescent="0.3">
      <c r="A80" s="9" t="s">
        <v>24</v>
      </c>
      <c r="B80" s="5" t="s">
        <v>28</v>
      </c>
      <c r="C80" s="10">
        <v>0</v>
      </c>
      <c r="D80" s="10">
        <v>1.5149999999999999</v>
      </c>
      <c r="E80" s="10">
        <v>0</v>
      </c>
      <c r="F80" s="10">
        <v>0</v>
      </c>
      <c r="G80" s="10">
        <v>1.2575000000000001</v>
      </c>
      <c r="H80" s="10">
        <v>9.64E-2</v>
      </c>
      <c r="I80" s="10">
        <v>0</v>
      </c>
      <c r="J80" s="10">
        <v>5.5460000000000003</v>
      </c>
      <c r="K80" s="10">
        <v>0</v>
      </c>
      <c r="L80" s="11">
        <f t="shared" si="8"/>
        <v>8.4148999999999994</v>
      </c>
    </row>
    <row r="81" spans="1:12" x14ac:dyDescent="0.3">
      <c r="A81" s="25" t="s">
        <v>29</v>
      </c>
      <c r="B81" s="25"/>
      <c r="C81" s="11">
        <f t="shared" ref="C81:L81" si="9">SUM(C69:C80)</f>
        <v>0</v>
      </c>
      <c r="D81" s="11">
        <f t="shared" si="9"/>
        <v>42.443899999999999</v>
      </c>
      <c r="E81" s="11">
        <f t="shared" si="9"/>
        <v>0</v>
      </c>
      <c r="F81" s="11">
        <f t="shared" si="9"/>
        <v>0</v>
      </c>
      <c r="G81" s="11">
        <f t="shared" si="9"/>
        <v>64.210599999999999</v>
      </c>
      <c r="H81" s="11">
        <f t="shared" si="9"/>
        <v>8.0414999999999992</v>
      </c>
      <c r="I81" s="11">
        <f t="shared" si="9"/>
        <v>123.42230000000002</v>
      </c>
      <c r="J81" s="11">
        <f t="shared" si="9"/>
        <v>45.404800000000002</v>
      </c>
      <c r="K81" s="11">
        <f t="shared" si="9"/>
        <v>18.537799999999997</v>
      </c>
      <c r="L81" s="11">
        <f t="shared" si="9"/>
        <v>302.06089999999995</v>
      </c>
    </row>
    <row r="83" spans="1:12" ht="15.6" x14ac:dyDescent="0.3">
      <c r="A83" s="2" t="s">
        <v>34</v>
      </c>
    </row>
    <row r="84" spans="1:12" x14ac:dyDescent="0.3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</row>
    <row r="85" spans="1:12" x14ac:dyDescent="0.3">
      <c r="A85" s="4" t="s">
        <v>14</v>
      </c>
      <c r="B85" s="5" t="s">
        <v>15</v>
      </c>
      <c r="C85" s="10">
        <v>4030.1131</v>
      </c>
      <c r="D85" s="10">
        <v>232.97049999999999</v>
      </c>
      <c r="E85" s="10">
        <v>51.686300000000003</v>
      </c>
      <c r="F85" s="10">
        <v>117.56910000000001</v>
      </c>
      <c r="G85" s="10">
        <v>61.3705</v>
      </c>
      <c r="H85" s="10">
        <v>34.1706</v>
      </c>
      <c r="I85" s="10">
        <v>53.3872</v>
      </c>
      <c r="J85" s="10">
        <v>28.613900000000001</v>
      </c>
      <c r="K85" s="10">
        <v>42.337499999999999</v>
      </c>
      <c r="L85" s="11">
        <f t="shared" ref="L85:L96" si="10">SUM(C85:K85)</f>
        <v>4652.2187000000004</v>
      </c>
    </row>
    <row r="86" spans="1:12" x14ac:dyDescent="0.3">
      <c r="A86" s="4" t="s">
        <v>14</v>
      </c>
      <c r="B86" s="5" t="s">
        <v>16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1">
        <f t="shared" si="10"/>
        <v>0</v>
      </c>
    </row>
    <row r="87" spans="1:12" x14ac:dyDescent="0.3">
      <c r="A87" s="4" t="s">
        <v>14</v>
      </c>
      <c r="B87" s="5" t="s">
        <v>17</v>
      </c>
      <c r="C87" s="10">
        <v>9298.1743999999999</v>
      </c>
      <c r="D87" s="10">
        <v>157.7114</v>
      </c>
      <c r="E87" s="10">
        <v>159.2039</v>
      </c>
      <c r="F87" s="10">
        <v>306.084</v>
      </c>
      <c r="G87" s="10">
        <v>29.285799999999998</v>
      </c>
      <c r="H87" s="10">
        <v>18.425000000000001</v>
      </c>
      <c r="I87" s="10">
        <v>79.271100000000004</v>
      </c>
      <c r="J87" s="10">
        <v>29.167899999999999</v>
      </c>
      <c r="K87" s="10">
        <v>3.1061999999999999</v>
      </c>
      <c r="L87" s="11">
        <f t="shared" si="10"/>
        <v>10080.429700000001</v>
      </c>
    </row>
    <row r="88" spans="1:12" x14ac:dyDescent="0.3">
      <c r="A88" s="4" t="s">
        <v>14</v>
      </c>
      <c r="B88" s="5" t="s">
        <v>18</v>
      </c>
      <c r="C88" s="10">
        <v>1655.7249999999999</v>
      </c>
      <c r="D88" s="10">
        <v>111.3335</v>
      </c>
      <c r="E88" s="10">
        <v>22.135400000000001</v>
      </c>
      <c r="F88" s="10">
        <v>38.168399999999998</v>
      </c>
      <c r="G88" s="10">
        <v>14.0212</v>
      </c>
      <c r="H88" s="10">
        <v>9.2710000000000008</v>
      </c>
      <c r="I88" s="10">
        <v>26.938099999999999</v>
      </c>
      <c r="J88" s="10">
        <v>1.7223999999999999</v>
      </c>
      <c r="K88" s="10">
        <v>2.5003000000000002</v>
      </c>
      <c r="L88" s="11">
        <f t="shared" si="10"/>
        <v>1881.8152999999998</v>
      </c>
    </row>
    <row r="89" spans="1:12" x14ac:dyDescent="0.3">
      <c r="A89" s="8" t="s">
        <v>19</v>
      </c>
      <c r="B89" s="5" t="s">
        <v>20</v>
      </c>
      <c r="C89" s="10">
        <v>5919.1615000000002</v>
      </c>
      <c r="D89" s="10">
        <v>150.19220000000001</v>
      </c>
      <c r="E89" s="10">
        <v>42.884999999999998</v>
      </c>
      <c r="F89" s="10">
        <v>154.5506</v>
      </c>
      <c r="G89" s="10">
        <v>14.2119</v>
      </c>
      <c r="H89" s="10">
        <v>22.486499999999999</v>
      </c>
      <c r="I89" s="10">
        <v>49.929900000000004</v>
      </c>
      <c r="J89" s="10">
        <v>216.4248</v>
      </c>
      <c r="K89" s="10">
        <v>0</v>
      </c>
      <c r="L89" s="11">
        <f t="shared" si="10"/>
        <v>6569.8424000000005</v>
      </c>
    </row>
    <row r="90" spans="1:12" x14ac:dyDescent="0.3">
      <c r="A90" s="8" t="s">
        <v>19</v>
      </c>
      <c r="B90" s="5" t="s">
        <v>21</v>
      </c>
      <c r="C90" s="10">
        <v>3457.5929999999998</v>
      </c>
      <c r="D90" s="10">
        <v>97.486099999999993</v>
      </c>
      <c r="E90" s="10">
        <v>101.9605</v>
      </c>
      <c r="F90" s="10">
        <v>126.7109</v>
      </c>
      <c r="G90" s="10">
        <v>19.756900000000002</v>
      </c>
      <c r="H90" s="10">
        <v>12.075699999999999</v>
      </c>
      <c r="I90" s="10">
        <v>23.146899999999999</v>
      </c>
      <c r="J90" s="10">
        <v>20.5398</v>
      </c>
      <c r="K90" s="10">
        <v>2.6964000000000001</v>
      </c>
      <c r="L90" s="11">
        <f t="shared" si="10"/>
        <v>3861.9661999999998</v>
      </c>
    </row>
    <row r="91" spans="1:12" x14ac:dyDescent="0.3">
      <c r="A91" s="8" t="s">
        <v>19</v>
      </c>
      <c r="B91" s="5" t="s">
        <v>22</v>
      </c>
      <c r="C91" s="10">
        <v>1570.5817</v>
      </c>
      <c r="D91" s="10">
        <v>107.1746</v>
      </c>
      <c r="E91" s="10">
        <v>23.956099999999999</v>
      </c>
      <c r="F91" s="10">
        <v>45.437399999999997</v>
      </c>
      <c r="G91" s="10">
        <v>14.193899999999999</v>
      </c>
      <c r="H91" s="10">
        <v>6.3856000000000002</v>
      </c>
      <c r="I91" s="10">
        <v>11.9383</v>
      </c>
      <c r="J91" s="10">
        <v>13.6067</v>
      </c>
      <c r="K91" s="10">
        <v>5.6921999999999997</v>
      </c>
      <c r="L91" s="11">
        <f t="shared" si="10"/>
        <v>1798.9665000000002</v>
      </c>
    </row>
    <row r="92" spans="1:12" x14ac:dyDescent="0.3">
      <c r="A92" s="8" t="s">
        <v>19</v>
      </c>
      <c r="B92" s="5" t="s">
        <v>23</v>
      </c>
      <c r="C92" s="10">
        <v>2195.4848999999999</v>
      </c>
      <c r="D92" s="10">
        <v>69.772300000000001</v>
      </c>
      <c r="E92" s="10">
        <v>43.936199999999999</v>
      </c>
      <c r="F92" s="10">
        <v>32.829799999999999</v>
      </c>
      <c r="G92" s="10">
        <v>6.9958999999999998</v>
      </c>
      <c r="H92" s="10">
        <v>4.0861000000000001</v>
      </c>
      <c r="I92" s="10">
        <v>5.0240999999999998</v>
      </c>
      <c r="J92" s="10">
        <v>17.976199999999999</v>
      </c>
      <c r="K92" s="10">
        <v>3.0619000000000001</v>
      </c>
      <c r="L92" s="11">
        <f t="shared" si="10"/>
        <v>2379.1674000000003</v>
      </c>
    </row>
    <row r="93" spans="1:12" x14ac:dyDescent="0.3">
      <c r="A93" s="9" t="s">
        <v>24</v>
      </c>
      <c r="B93" s="5" t="s">
        <v>25</v>
      </c>
      <c r="C93" s="10">
        <v>6091.4494000000004</v>
      </c>
      <c r="D93" s="10">
        <v>148.73689999999999</v>
      </c>
      <c r="E93" s="10">
        <v>55.705599999999997</v>
      </c>
      <c r="F93" s="10">
        <v>63.708300000000001</v>
      </c>
      <c r="G93" s="10">
        <v>0</v>
      </c>
      <c r="H93" s="10">
        <v>28.169899999999998</v>
      </c>
      <c r="I93" s="10">
        <v>51.393900000000002</v>
      </c>
      <c r="J93" s="10">
        <v>11.525</v>
      </c>
      <c r="K93" s="10">
        <v>4.4320000000000004</v>
      </c>
      <c r="L93" s="11">
        <f t="shared" si="10"/>
        <v>6455.1210000000001</v>
      </c>
    </row>
    <row r="94" spans="1:12" x14ac:dyDescent="0.3">
      <c r="A94" s="9" t="s">
        <v>24</v>
      </c>
      <c r="B94" s="5" t="s">
        <v>26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1">
        <f t="shared" si="10"/>
        <v>0</v>
      </c>
    </row>
    <row r="95" spans="1:12" x14ac:dyDescent="0.3">
      <c r="A95" s="9" t="s">
        <v>24</v>
      </c>
      <c r="B95" s="5" t="s">
        <v>27</v>
      </c>
      <c r="C95" s="10">
        <v>3515.4171000000001</v>
      </c>
      <c r="D95" s="10">
        <v>157.96619999999999</v>
      </c>
      <c r="E95" s="10">
        <v>0</v>
      </c>
      <c r="F95" s="10">
        <v>23.149799999999999</v>
      </c>
      <c r="G95" s="10">
        <v>10.147600000000001</v>
      </c>
      <c r="H95" s="10">
        <v>3.9939</v>
      </c>
      <c r="I95" s="10">
        <v>24.188600000000001</v>
      </c>
      <c r="J95" s="10">
        <v>0</v>
      </c>
      <c r="K95" s="10">
        <v>13.857100000000001</v>
      </c>
      <c r="L95" s="11">
        <f t="shared" si="10"/>
        <v>3748.7203</v>
      </c>
    </row>
    <row r="96" spans="1:12" x14ac:dyDescent="0.3">
      <c r="A96" s="9" t="s">
        <v>24</v>
      </c>
      <c r="B96" s="5" t="s">
        <v>28</v>
      </c>
      <c r="C96" s="10">
        <v>341.86619999999999</v>
      </c>
      <c r="D96" s="10">
        <v>48.264299999999999</v>
      </c>
      <c r="E96" s="10">
        <v>11.172599999999999</v>
      </c>
      <c r="F96" s="10">
        <v>1.4078999999999999</v>
      </c>
      <c r="G96" s="10">
        <v>5.6703000000000001</v>
      </c>
      <c r="H96" s="10">
        <v>1.0767</v>
      </c>
      <c r="I96" s="10">
        <v>0</v>
      </c>
      <c r="J96" s="10">
        <v>37.539299999999997</v>
      </c>
      <c r="K96" s="10">
        <v>0</v>
      </c>
      <c r="L96" s="11">
        <f t="shared" si="10"/>
        <v>446.9973</v>
      </c>
    </row>
    <row r="97" spans="1:12" x14ac:dyDescent="0.3">
      <c r="A97" s="25" t="s">
        <v>29</v>
      </c>
      <c r="B97" s="25"/>
      <c r="C97" s="11">
        <f t="shared" ref="C97:L97" si="11">SUM(C85:C96)</f>
        <v>38075.566299999991</v>
      </c>
      <c r="D97" s="11">
        <f t="shared" si="11"/>
        <v>1281.6079999999999</v>
      </c>
      <c r="E97" s="11">
        <f t="shared" si="11"/>
        <v>512.64159999999993</v>
      </c>
      <c r="F97" s="11">
        <f t="shared" si="11"/>
        <v>909.61620000000016</v>
      </c>
      <c r="G97" s="11">
        <f t="shared" si="11"/>
        <v>175.654</v>
      </c>
      <c r="H97" s="11">
        <f t="shared" si="11"/>
        <v>140.14099999999999</v>
      </c>
      <c r="I97" s="11">
        <f t="shared" si="11"/>
        <v>325.21809999999999</v>
      </c>
      <c r="J97" s="11">
        <f t="shared" si="11"/>
        <v>377.11599999999999</v>
      </c>
      <c r="K97" s="11">
        <f t="shared" si="11"/>
        <v>77.683599999999998</v>
      </c>
      <c r="L97" s="11">
        <f t="shared" si="11"/>
        <v>41875.2448</v>
      </c>
    </row>
    <row r="99" spans="1:12" ht="15.6" x14ac:dyDescent="0.3">
      <c r="A99" s="2" t="s">
        <v>35</v>
      </c>
    </row>
    <row r="100" spans="1:12" x14ac:dyDescent="0.3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12</v>
      </c>
      <c r="L100" s="3" t="s">
        <v>13</v>
      </c>
    </row>
    <row r="101" spans="1:12" x14ac:dyDescent="0.3">
      <c r="A101" s="4" t="s">
        <v>14</v>
      </c>
      <c r="B101" s="5" t="s">
        <v>15</v>
      </c>
      <c r="C101" s="10">
        <v>4054.1997999999999</v>
      </c>
      <c r="D101" s="10">
        <v>290.47340000000003</v>
      </c>
      <c r="E101" s="10">
        <v>51.835700000000003</v>
      </c>
      <c r="F101" s="10">
        <v>117.9053</v>
      </c>
      <c r="G101" s="10">
        <v>114.57080000000001</v>
      </c>
      <c r="H101" s="10">
        <v>54.853999999999999</v>
      </c>
      <c r="I101" s="10">
        <v>82.469700000000003</v>
      </c>
      <c r="J101" s="10">
        <v>36.6815</v>
      </c>
      <c r="K101" s="10">
        <v>52.136499999999998</v>
      </c>
      <c r="L101" s="11">
        <f t="shared" ref="L101:L112" si="12">SUM(C101:K101)</f>
        <v>4855.1266999999998</v>
      </c>
    </row>
    <row r="102" spans="1:12" x14ac:dyDescent="0.3">
      <c r="A102" s="4" t="s">
        <v>14</v>
      </c>
      <c r="B102" s="5" t="s">
        <v>16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1">
        <f t="shared" si="12"/>
        <v>0</v>
      </c>
    </row>
    <row r="103" spans="1:12" x14ac:dyDescent="0.3">
      <c r="A103" s="4" t="s">
        <v>14</v>
      </c>
      <c r="B103" s="5" t="s">
        <v>17</v>
      </c>
      <c r="C103" s="10">
        <v>9360.1278999999995</v>
      </c>
      <c r="D103" s="10">
        <v>226.27369999999999</v>
      </c>
      <c r="E103" s="10">
        <v>159.761</v>
      </c>
      <c r="F103" s="10">
        <v>306.89440000000002</v>
      </c>
      <c r="G103" s="10">
        <v>66.218500000000006</v>
      </c>
      <c r="H103" s="10">
        <v>33.080500000000001</v>
      </c>
      <c r="I103" s="10">
        <v>172.23169999999999</v>
      </c>
      <c r="J103" s="10">
        <v>44.548699999999997</v>
      </c>
      <c r="K103" s="10">
        <v>4.4493</v>
      </c>
      <c r="L103" s="11">
        <f t="shared" si="12"/>
        <v>10373.5857</v>
      </c>
    </row>
    <row r="104" spans="1:12" x14ac:dyDescent="0.3">
      <c r="A104" s="4" t="s">
        <v>14</v>
      </c>
      <c r="B104" s="5" t="s">
        <v>18</v>
      </c>
      <c r="C104" s="10">
        <v>1689.3755000000001</v>
      </c>
      <c r="D104" s="10">
        <v>149.86660000000001</v>
      </c>
      <c r="E104" s="10">
        <v>22.5989</v>
      </c>
      <c r="F104" s="10">
        <v>38.845799999999997</v>
      </c>
      <c r="G104" s="10">
        <v>23.874300000000002</v>
      </c>
      <c r="H104" s="10">
        <v>14.1607</v>
      </c>
      <c r="I104" s="10">
        <v>37.351500000000001</v>
      </c>
      <c r="J104" s="10">
        <v>3.5762999999999998</v>
      </c>
      <c r="K104" s="10">
        <v>3.9843999999999999</v>
      </c>
      <c r="L104" s="11">
        <f t="shared" si="12"/>
        <v>1983.634</v>
      </c>
    </row>
    <row r="105" spans="1:12" x14ac:dyDescent="0.3">
      <c r="A105" s="8" t="s">
        <v>19</v>
      </c>
      <c r="B105" s="5" t="s">
        <v>20</v>
      </c>
      <c r="C105" s="10">
        <v>5963.9422999999997</v>
      </c>
      <c r="D105" s="10">
        <v>202.68350000000001</v>
      </c>
      <c r="E105" s="10">
        <v>43.147300000000001</v>
      </c>
      <c r="F105" s="10">
        <v>155.1628</v>
      </c>
      <c r="G105" s="10">
        <v>38.2181</v>
      </c>
      <c r="H105" s="10">
        <v>37.984099999999998</v>
      </c>
      <c r="I105" s="10">
        <v>88.315700000000007</v>
      </c>
      <c r="J105" s="10">
        <v>256.50349999999997</v>
      </c>
      <c r="K105" s="10">
        <v>0</v>
      </c>
      <c r="L105" s="11">
        <f t="shared" si="12"/>
        <v>6785.9572999999991</v>
      </c>
    </row>
    <row r="106" spans="1:12" x14ac:dyDescent="0.3">
      <c r="A106" s="8" t="s">
        <v>19</v>
      </c>
      <c r="B106" s="5" t="s">
        <v>21</v>
      </c>
      <c r="C106" s="10">
        <v>3498.0664000000002</v>
      </c>
      <c r="D106" s="10">
        <v>139.0615</v>
      </c>
      <c r="E106" s="10">
        <v>102.6926</v>
      </c>
      <c r="F106" s="10">
        <v>127.5586</v>
      </c>
      <c r="G106" s="10">
        <v>37.573900000000002</v>
      </c>
      <c r="H106" s="10">
        <v>19.533100000000001</v>
      </c>
      <c r="I106" s="10">
        <v>40.652900000000002</v>
      </c>
      <c r="J106" s="10">
        <v>31.750299999999999</v>
      </c>
      <c r="K106" s="10">
        <v>4.0346000000000002</v>
      </c>
      <c r="L106" s="11">
        <f t="shared" si="12"/>
        <v>4000.9238999999998</v>
      </c>
    </row>
    <row r="107" spans="1:12" x14ac:dyDescent="0.3">
      <c r="A107" s="8" t="s">
        <v>19</v>
      </c>
      <c r="B107" s="5" t="s">
        <v>22</v>
      </c>
      <c r="C107" s="10">
        <v>1599.1776</v>
      </c>
      <c r="D107" s="10">
        <v>145.87459999999999</v>
      </c>
      <c r="E107" s="10">
        <v>24.316700000000001</v>
      </c>
      <c r="F107" s="10">
        <v>46.194800000000001</v>
      </c>
      <c r="G107" s="10">
        <v>24.6602</v>
      </c>
      <c r="H107" s="10">
        <v>11.0967</v>
      </c>
      <c r="I107" s="10">
        <v>17.8871</v>
      </c>
      <c r="J107" s="10">
        <v>18.9299</v>
      </c>
      <c r="K107" s="10">
        <v>8.0358000000000001</v>
      </c>
      <c r="L107" s="11">
        <f t="shared" si="12"/>
        <v>1896.1734000000004</v>
      </c>
    </row>
    <row r="108" spans="1:12" x14ac:dyDescent="0.3">
      <c r="A108" s="8" t="s">
        <v>19</v>
      </c>
      <c r="B108" s="5" t="s">
        <v>23</v>
      </c>
      <c r="C108" s="10">
        <v>2238.8087</v>
      </c>
      <c r="D108" s="10">
        <v>96.096699999999998</v>
      </c>
      <c r="E108" s="10">
        <v>44.78</v>
      </c>
      <c r="F108" s="10">
        <v>33.276499999999999</v>
      </c>
      <c r="G108" s="10">
        <v>15.638999999999999</v>
      </c>
      <c r="H108" s="10">
        <v>7.1253000000000002</v>
      </c>
      <c r="I108" s="10">
        <v>11.655799999999999</v>
      </c>
      <c r="J108" s="10">
        <v>29.658200000000001</v>
      </c>
      <c r="K108" s="10">
        <v>4.8129</v>
      </c>
      <c r="L108" s="11">
        <f t="shared" si="12"/>
        <v>2481.8531000000003</v>
      </c>
    </row>
    <row r="109" spans="1:12" x14ac:dyDescent="0.3">
      <c r="A109" s="9" t="s">
        <v>24</v>
      </c>
      <c r="B109" s="5" t="s">
        <v>25</v>
      </c>
      <c r="C109" s="10">
        <v>6144.3896000000004</v>
      </c>
      <c r="D109" s="10">
        <v>241.52789999999999</v>
      </c>
      <c r="E109" s="10">
        <v>56.091000000000001</v>
      </c>
      <c r="F109" s="10">
        <v>63.997300000000003</v>
      </c>
      <c r="G109" s="10">
        <v>0</v>
      </c>
      <c r="H109" s="10">
        <v>39.637</v>
      </c>
      <c r="I109" s="10">
        <v>100.4871</v>
      </c>
      <c r="J109" s="10">
        <v>21.742699999999999</v>
      </c>
      <c r="K109" s="10">
        <v>6.3491999999999997</v>
      </c>
      <c r="L109" s="11">
        <f t="shared" si="12"/>
        <v>6674.2218000000003</v>
      </c>
    </row>
    <row r="110" spans="1:12" x14ac:dyDescent="0.3">
      <c r="A110" s="9" t="s">
        <v>24</v>
      </c>
      <c r="B110" s="5" t="s">
        <v>26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1">
        <f t="shared" si="12"/>
        <v>0</v>
      </c>
    </row>
    <row r="111" spans="1:12" x14ac:dyDescent="0.3">
      <c r="A111" s="9" t="s">
        <v>24</v>
      </c>
      <c r="B111" s="5" t="s">
        <v>27</v>
      </c>
      <c r="C111" s="10">
        <v>3550.3015999999998</v>
      </c>
      <c r="D111" s="10">
        <v>238.2276</v>
      </c>
      <c r="E111" s="10">
        <v>0</v>
      </c>
      <c r="F111" s="10">
        <v>23.204899999999999</v>
      </c>
      <c r="G111" s="10">
        <v>40.762900000000002</v>
      </c>
      <c r="H111" s="10">
        <v>7.2862999999999998</v>
      </c>
      <c r="I111" s="10">
        <v>36.429600000000001</v>
      </c>
      <c r="J111" s="10">
        <v>0</v>
      </c>
      <c r="K111" s="10">
        <v>21.7821</v>
      </c>
      <c r="L111" s="11">
        <f t="shared" si="12"/>
        <v>3917.9950000000003</v>
      </c>
    </row>
    <row r="112" spans="1:12" x14ac:dyDescent="0.3">
      <c r="A112" s="9" t="s">
        <v>24</v>
      </c>
      <c r="B112" s="5" t="s">
        <v>28</v>
      </c>
      <c r="C112" s="10">
        <v>355.2312</v>
      </c>
      <c r="D112" s="10">
        <v>74.4636</v>
      </c>
      <c r="E112" s="10">
        <v>11.426399999999999</v>
      </c>
      <c r="F112" s="10">
        <v>1.5094000000000001</v>
      </c>
      <c r="G112" s="10">
        <v>9.9646000000000008</v>
      </c>
      <c r="H112" s="10">
        <v>2.4329000000000001</v>
      </c>
      <c r="I112" s="10">
        <v>0</v>
      </c>
      <c r="J112" s="10">
        <v>54.046599999999998</v>
      </c>
      <c r="K112" s="10">
        <v>0</v>
      </c>
      <c r="L112" s="11">
        <f t="shared" si="12"/>
        <v>509.07470000000006</v>
      </c>
    </row>
    <row r="113" spans="1:12" x14ac:dyDescent="0.3">
      <c r="A113" s="25" t="s">
        <v>29</v>
      </c>
      <c r="B113" s="25"/>
      <c r="C113" s="11">
        <f t="shared" ref="C113:L113" si="13">SUM(C101:C112)</f>
        <v>38453.620600000002</v>
      </c>
      <c r="D113" s="11">
        <f t="shared" si="13"/>
        <v>1804.5491000000002</v>
      </c>
      <c r="E113" s="11">
        <f t="shared" si="13"/>
        <v>516.64959999999996</v>
      </c>
      <c r="F113" s="11">
        <f t="shared" si="13"/>
        <v>914.54979999999989</v>
      </c>
      <c r="G113" s="11">
        <f t="shared" si="13"/>
        <v>371.48230000000001</v>
      </c>
      <c r="H113" s="11">
        <f t="shared" si="13"/>
        <v>227.19059999999999</v>
      </c>
      <c r="I113" s="11">
        <f t="shared" si="13"/>
        <v>587.48109999999997</v>
      </c>
      <c r="J113" s="11">
        <f t="shared" si="13"/>
        <v>497.43769999999995</v>
      </c>
      <c r="K113" s="11">
        <f t="shared" si="13"/>
        <v>105.58479999999999</v>
      </c>
      <c r="L113" s="11">
        <f t="shared" si="13"/>
        <v>43478.545599999998</v>
      </c>
    </row>
  </sheetData>
  <mergeCells count="7">
    <mergeCell ref="A97:B97"/>
    <mergeCell ref="A113:B113"/>
    <mergeCell ref="A17:B17"/>
    <mergeCell ref="A33:B33"/>
    <mergeCell ref="A49:B49"/>
    <mergeCell ref="A65:B65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A5C8-4150-4EE3-B311-9C2EB2FC534B}">
  <dimension ref="A1:J12"/>
  <sheetViews>
    <sheetView tabSelected="1" workbookViewId="0">
      <selection activeCell="J2" sqref="J2"/>
    </sheetView>
  </sheetViews>
  <sheetFormatPr defaultRowHeight="14.4" x14ac:dyDescent="0.3"/>
  <cols>
    <col min="1" max="1" width="24.21875" customWidth="1"/>
    <col min="6" max="6" width="26.77734375" customWidth="1"/>
    <col min="7" max="7" width="15.6640625" customWidth="1"/>
    <col min="8" max="8" width="15.109375" customWidth="1"/>
    <col min="9" max="9" width="18.5546875" customWidth="1"/>
    <col min="10" max="10" width="20.5546875" customWidth="1"/>
  </cols>
  <sheetData>
    <row r="1" spans="1:10" ht="17.399999999999999" x14ac:dyDescent="0.3">
      <c r="A1" s="19" t="s">
        <v>38</v>
      </c>
      <c r="B1" s="20"/>
      <c r="C1" s="20"/>
      <c r="D1" s="20"/>
      <c r="E1" s="20"/>
      <c r="F1" s="20"/>
      <c r="G1" s="20"/>
      <c r="H1" s="20"/>
      <c r="I1" s="21"/>
      <c r="J1" s="12"/>
    </row>
    <row r="2" spans="1:10" ht="72" x14ac:dyDescent="0.3">
      <c r="A2" s="13" t="s">
        <v>39</v>
      </c>
      <c r="B2" s="13" t="s">
        <v>40</v>
      </c>
      <c r="C2" s="13" t="s">
        <v>41</v>
      </c>
      <c r="D2" s="13" t="s">
        <v>42</v>
      </c>
      <c r="E2" s="13" t="s">
        <v>43</v>
      </c>
      <c r="F2" s="13" t="s">
        <v>44</v>
      </c>
      <c r="G2" s="14" t="s">
        <v>45</v>
      </c>
      <c r="H2" s="14" t="s">
        <v>46</v>
      </c>
      <c r="I2" s="14" t="s">
        <v>47</v>
      </c>
      <c r="J2" s="15" t="s">
        <v>48</v>
      </c>
    </row>
    <row r="3" spans="1:10" x14ac:dyDescent="0.3">
      <c r="A3" t="s">
        <v>49</v>
      </c>
      <c r="B3">
        <v>1804.5436000000002</v>
      </c>
      <c r="C3">
        <v>3962.2768000000005</v>
      </c>
      <c r="D3">
        <v>360.62360000000001</v>
      </c>
      <c r="E3">
        <v>1433.1052</v>
      </c>
      <c r="F3">
        <v>144318.71919999999</v>
      </c>
      <c r="G3">
        <v>151879.26880000002</v>
      </c>
      <c r="H3">
        <f>$G3-($D3+$C3)</f>
        <v>147556.36840000001</v>
      </c>
      <c r="I3">
        <v>276144.12479999999</v>
      </c>
      <c r="J3">
        <f>H3*(1/0.55)</f>
        <v>268284.30618181819</v>
      </c>
    </row>
    <row r="4" spans="1:10" x14ac:dyDescent="0.3">
      <c r="A4" t="s">
        <v>50</v>
      </c>
      <c r="B4">
        <v>2176.4864000000002</v>
      </c>
      <c r="C4">
        <v>3279.0931999999998</v>
      </c>
      <c r="D4">
        <v>386.60399999999998</v>
      </c>
      <c r="E4">
        <v>1218.1324000000002</v>
      </c>
      <c r="F4">
        <v>163848.11440000002</v>
      </c>
      <c r="G4">
        <v>170908.43039999998</v>
      </c>
      <c r="H4">
        <f t="shared" ref="H4" si="0">$G4-($D4+$C4)</f>
        <v>167242.73319999999</v>
      </c>
      <c r="I4">
        <v>310742.60119999998</v>
      </c>
      <c r="J4">
        <f t="shared" ref="J4:J8" si="1">H4*(1/0.55)</f>
        <v>304077.69672727271</v>
      </c>
    </row>
    <row r="5" spans="1:10" x14ac:dyDescent="0.3">
      <c r="A5" t="s">
        <v>51</v>
      </c>
      <c r="B5">
        <f>AVERAGE(B$3:B$4)</f>
        <v>1990.5150000000003</v>
      </c>
      <c r="C5">
        <f t="shared" ref="C5:G5" si="2">AVERAGE(C$3:C$4)</f>
        <v>3620.6850000000004</v>
      </c>
      <c r="D5">
        <f t="shared" si="2"/>
        <v>373.61379999999997</v>
      </c>
      <c r="E5">
        <f t="shared" si="2"/>
        <v>1325.6188000000002</v>
      </c>
      <c r="F5">
        <f t="shared" si="2"/>
        <v>154083.41680000001</v>
      </c>
      <c r="G5">
        <f t="shared" si="2"/>
        <v>161393.84960000002</v>
      </c>
      <c r="H5">
        <f>$G5-($D5+$C5)</f>
        <v>157399.55080000003</v>
      </c>
      <c r="I5">
        <f>AVERAGE(I$3:I$4)</f>
        <v>293443.36300000001</v>
      </c>
      <c r="J5">
        <f t="shared" si="1"/>
        <v>286181.00145454548</v>
      </c>
    </row>
    <row r="6" spans="1:10" x14ac:dyDescent="0.3">
      <c r="A6" t="s">
        <v>52</v>
      </c>
      <c r="B6">
        <f>B$5*240</f>
        <v>477723.60000000009</v>
      </c>
      <c r="C6">
        <f t="shared" ref="C6:J6" si="3">C$5*240</f>
        <v>868964.40000000014</v>
      </c>
      <c r="D6">
        <f t="shared" si="3"/>
        <v>89667.311999999991</v>
      </c>
      <c r="E6">
        <f t="shared" si="3"/>
        <v>318148.51200000005</v>
      </c>
      <c r="F6">
        <f t="shared" si="3"/>
        <v>36980020.032000005</v>
      </c>
      <c r="G6">
        <f t="shared" si="3"/>
        <v>38734523.904000007</v>
      </c>
      <c r="H6">
        <f t="shared" si="3"/>
        <v>37775892.192000009</v>
      </c>
      <c r="I6">
        <f t="shared" si="3"/>
        <v>70426407.120000005</v>
      </c>
      <c r="J6">
        <f t="shared" si="3"/>
        <v>68683440.349090919</v>
      </c>
    </row>
    <row r="7" spans="1:10" ht="15.6" x14ac:dyDescent="0.3">
      <c r="A7" s="22" t="s">
        <v>53</v>
      </c>
      <c r="B7" s="23"/>
      <c r="C7" s="23"/>
      <c r="D7" s="23"/>
      <c r="E7" s="23"/>
      <c r="F7" s="23"/>
      <c r="G7" s="23"/>
      <c r="H7" s="23"/>
      <c r="I7" s="24"/>
    </row>
    <row r="8" spans="1:10" x14ac:dyDescent="0.3">
      <c r="A8" t="s">
        <v>54</v>
      </c>
      <c r="B8">
        <v>1559.0996</v>
      </c>
      <c r="C8">
        <v>3200.7743999999998</v>
      </c>
      <c r="D8">
        <v>445.08840000000004</v>
      </c>
      <c r="E8">
        <v>1208.2416000000001</v>
      </c>
      <c r="F8">
        <v>167500.97760000001</v>
      </c>
      <c r="G8">
        <v>173914.18360000002</v>
      </c>
      <c r="H8">
        <f>G8-(D8+C8)</f>
        <v>170268.32080000002</v>
      </c>
      <c r="I8">
        <v>316207.60639999999</v>
      </c>
      <c r="J8">
        <f t="shared" si="1"/>
        <v>309578.76509090909</v>
      </c>
    </row>
    <row r="9" spans="1:10" x14ac:dyDescent="0.3">
      <c r="A9" t="s">
        <v>55</v>
      </c>
      <c r="B9">
        <f>B$8*125</f>
        <v>194887.45</v>
      </c>
      <c r="C9">
        <f t="shared" ref="C9:J9" si="4">C$8*125</f>
        <v>400096.8</v>
      </c>
      <c r="D9">
        <f t="shared" si="4"/>
        <v>55636.05</v>
      </c>
      <c r="E9">
        <f t="shared" si="4"/>
        <v>151030.20000000001</v>
      </c>
      <c r="F9">
        <f t="shared" si="4"/>
        <v>20937622.200000003</v>
      </c>
      <c r="G9">
        <f t="shared" si="4"/>
        <v>21739272.950000003</v>
      </c>
      <c r="H9">
        <f t="shared" si="4"/>
        <v>21283540.100000001</v>
      </c>
      <c r="I9">
        <f t="shared" si="4"/>
        <v>39525950.799999997</v>
      </c>
      <c r="J9">
        <f t="shared" si="4"/>
        <v>38697345.636363633</v>
      </c>
    </row>
    <row r="11" spans="1:10" x14ac:dyDescent="0.3">
      <c r="A11" s="16" t="s">
        <v>56</v>
      </c>
      <c r="B11" s="16">
        <f>(B$6+B$9)</f>
        <v>672611.05</v>
      </c>
      <c r="C11" s="16">
        <f t="shared" ref="C11:I11" si="5">(C$6+C$9)</f>
        <v>1269061.2000000002</v>
      </c>
      <c r="D11" s="16">
        <f t="shared" si="5"/>
        <v>145303.36199999999</v>
      </c>
      <c r="E11" s="16">
        <f t="shared" si="5"/>
        <v>469178.71200000006</v>
      </c>
      <c r="F11" s="16">
        <f t="shared" si="5"/>
        <v>57917642.232000008</v>
      </c>
      <c r="G11" s="16">
        <f t="shared" si="5"/>
        <v>60473796.85400001</v>
      </c>
      <c r="H11" s="16">
        <f>H6+H9</f>
        <v>59059432.292000011</v>
      </c>
      <c r="I11" s="17">
        <f t="shared" si="5"/>
        <v>109952357.92</v>
      </c>
      <c r="J11" s="17">
        <f>(J$6+J$9)</f>
        <v>107380785.98545456</v>
      </c>
    </row>
    <row r="12" spans="1:10" ht="17.399999999999999" x14ac:dyDescent="0.45">
      <c r="J12" s="18" t="s">
        <v>57</v>
      </c>
    </row>
  </sheetData>
  <mergeCells count="2">
    <mergeCell ref="A1:I1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14-12-25</vt:lpstr>
      <vt:lpstr>17-12-25</vt:lpstr>
      <vt:lpstr>19-12-25</vt:lpstr>
      <vt:lpstr>Final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MSI</cp:lastModifiedBy>
  <cp:revision>0</cp:revision>
  <dcterms:created xsi:type="dcterms:W3CDTF">2026-06-27T04:58:32Z</dcterms:created>
  <dcterms:modified xsi:type="dcterms:W3CDTF">2026-07-05T20:32:33Z</dcterms:modified>
  <dc:language>en-US</dc:language>
</cp:coreProperties>
</file>
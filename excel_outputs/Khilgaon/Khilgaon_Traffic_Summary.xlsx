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rimary Analysis\Khilgaon\"/>
    </mc:Choice>
  </mc:AlternateContent>
  <xr:revisionPtr revIDLastSave="0" documentId="13_ncr:1_{CE10B0A7-4B24-453E-A7F5-B9782616E407}" xr6:coauthVersionLast="47" xr6:coauthVersionMax="47" xr10:uidLastSave="{00000000-0000-0000-0000-000000000000}"/>
  <bookViews>
    <workbookView xWindow="28680" yWindow="-75" windowWidth="29040" windowHeight="15720" activeTab="2" xr2:uid="{00000000-000D-0000-FFFF-FFFF00000000}"/>
  </bookViews>
  <sheets>
    <sheet name="14-12-2025 Sunday" sheetId="1" r:id="rId1"/>
    <sheet name="17-12-2025 Wednesday" sheetId="2" r:id="rId2"/>
    <sheet name="19-12-2025 Friday" sheetId="3" r:id="rId3"/>
    <sheet name="FINAL COST" sheetId="4" r:id="rId4"/>
  </sheets>
  <calcPr calcId="181029"/>
</workbook>
</file>

<file path=xl/calcChain.xml><?xml version="1.0" encoding="utf-8"?>
<calcChain xmlns="http://schemas.openxmlformats.org/spreadsheetml/2006/main">
  <c r="B19" i="3" l="1"/>
  <c r="J3" i="4"/>
  <c r="H3" i="4"/>
  <c r="C9" i="4"/>
  <c r="D9" i="4"/>
  <c r="E9" i="4"/>
  <c r="F9" i="4"/>
  <c r="G9" i="4"/>
  <c r="H9" i="4"/>
  <c r="I9" i="4"/>
  <c r="J9" i="4"/>
  <c r="B9" i="4"/>
  <c r="C6" i="4"/>
  <c r="D6" i="4"/>
  <c r="E6" i="4"/>
  <c r="F6" i="4"/>
  <c r="G6" i="4"/>
  <c r="H6" i="4"/>
  <c r="I6" i="4"/>
  <c r="J6" i="4"/>
  <c r="B6" i="4"/>
  <c r="B11" i="4"/>
  <c r="C15" i="1"/>
  <c r="B24" i="3"/>
  <c r="B24" i="2"/>
  <c r="B25" i="1"/>
  <c r="J11" i="4"/>
  <c r="H11" i="4"/>
  <c r="J4" i="4"/>
  <c r="J5" i="4"/>
  <c r="J8" i="4"/>
  <c r="H5" i="4"/>
  <c r="H8" i="4"/>
  <c r="H4" i="4"/>
  <c r="W16" i="1"/>
  <c r="B15" i="1"/>
  <c r="B17" i="1" s="1"/>
  <c r="B22" i="1"/>
  <c r="I5" i="4"/>
  <c r="C5" i="4"/>
  <c r="C11" i="4" s="1"/>
  <c r="D5" i="4"/>
  <c r="D11" i="4" s="1"/>
  <c r="E5" i="4"/>
  <c r="E11" i="4" s="1"/>
  <c r="F5" i="4"/>
  <c r="F11" i="4" s="1"/>
  <c r="G5" i="4"/>
  <c r="G11" i="4" s="1"/>
  <c r="B5" i="4"/>
  <c r="D15" i="1"/>
  <c r="E15" i="1"/>
  <c r="F15" i="1"/>
  <c r="G15" i="1"/>
  <c r="H15" i="1"/>
  <c r="I15" i="1"/>
  <c r="J15" i="1"/>
  <c r="K15" i="1"/>
  <c r="L15" i="1"/>
  <c r="M15" i="1"/>
  <c r="N15" i="1"/>
  <c r="P15" i="1"/>
  <c r="Q15" i="1"/>
  <c r="R15" i="1"/>
  <c r="S15" i="1"/>
  <c r="T15" i="1"/>
  <c r="U15" i="1"/>
  <c r="U17" i="1" s="1"/>
  <c r="V15" i="1"/>
  <c r="V17" i="1" s="1"/>
  <c r="W15" i="1"/>
  <c r="W17" i="1" s="1"/>
  <c r="X15" i="1"/>
  <c r="X17" i="1" s="1"/>
  <c r="Y15" i="1"/>
  <c r="Y17" i="1" s="1"/>
  <c r="Z15" i="1"/>
  <c r="Z17" i="1" s="1"/>
  <c r="AA15" i="1"/>
  <c r="AA17" i="1" s="1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U17" i="2" s="1"/>
  <c r="V15" i="2"/>
  <c r="V17" i="2" s="1"/>
  <c r="W15" i="2"/>
  <c r="W17" i="2" s="1"/>
  <c r="X15" i="2"/>
  <c r="X17" i="2" s="1"/>
  <c r="Y15" i="2"/>
  <c r="Y17" i="2" s="1"/>
  <c r="Z15" i="2"/>
  <c r="Z17" i="2" s="1"/>
  <c r="AA15" i="2"/>
  <c r="AA17" i="2" s="1"/>
  <c r="B15" i="2"/>
  <c r="B16" i="2" s="1"/>
  <c r="B22" i="2" s="1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U16" i="3" s="1"/>
  <c r="V15" i="3"/>
  <c r="V17" i="3" s="1"/>
  <c r="W15" i="3"/>
  <c r="W17" i="3" s="1"/>
  <c r="X15" i="3"/>
  <c r="X17" i="3" s="1"/>
  <c r="Y15" i="3"/>
  <c r="Y17" i="3" s="1"/>
  <c r="Z15" i="3"/>
  <c r="Z17" i="3" s="1"/>
  <c r="AA15" i="3"/>
  <c r="AA17" i="3" s="1"/>
  <c r="B15" i="3"/>
  <c r="B17" i="3" s="1"/>
  <c r="B19" i="2"/>
  <c r="B20" i="1"/>
  <c r="B16" i="3" l="1"/>
  <c r="B22" i="3" s="1"/>
  <c r="Z16" i="3"/>
  <c r="W16" i="3"/>
  <c r="U17" i="3"/>
  <c r="V16" i="2"/>
  <c r="U16" i="2"/>
  <c r="Y16" i="1"/>
  <c r="X16" i="1"/>
  <c r="V16" i="1"/>
  <c r="U16" i="1"/>
  <c r="B16" i="1"/>
  <c r="B23" i="1" s="1"/>
  <c r="AA16" i="1"/>
  <c r="Z16" i="1"/>
  <c r="AA16" i="3"/>
  <c r="Y16" i="3"/>
  <c r="X16" i="3"/>
  <c r="V16" i="3"/>
  <c r="AA16" i="2"/>
  <c r="Z16" i="2"/>
  <c r="B17" i="2"/>
  <c r="Y16" i="2"/>
  <c r="X16" i="2"/>
  <c r="W16" i="2"/>
  <c r="I11" i="4"/>
</calcChain>
</file>

<file path=xl/sharedStrings.xml><?xml version="1.0" encoding="utf-8"?>
<sst xmlns="http://schemas.openxmlformats.org/spreadsheetml/2006/main" count="242" uniqueCount="74">
  <si>
    <t>Time
Period</t>
  </si>
  <si>
    <t>Total
PCU
(PCU)</t>
  </si>
  <si>
    <t>Car
(Count)</t>
  </si>
  <si>
    <t>CNG
(Count)</t>
  </si>
  <si>
    <t>Bike
(Count)</t>
  </si>
  <si>
    <t>Bus
(Count)</t>
  </si>
  <si>
    <t>Truck
(Count)</t>
  </si>
  <si>
    <t>Leguna
(Count)</t>
  </si>
  <si>
    <t>Total
Motorized
(Count)</t>
  </si>
  <si>
    <t>Rickshaw
(Count)</t>
  </si>
  <si>
    <t>Bicycle
(Count)</t>
  </si>
  <si>
    <t>Van
(Count)</t>
  </si>
  <si>
    <t>Total Non-
Motorized
(Count)</t>
  </si>
  <si>
    <t>Avg Speed
(km/h)</t>
  </si>
  <si>
    <t>Saturation
Check</t>
  </si>
  <si>
    <t>Total Red
Time (s)</t>
  </si>
  <si>
    <t>Avg Delay
per Veh.
(min/veh)</t>
  </si>
  <si>
    <t>Queue
Duration
Time (s)</t>
  </si>
  <si>
    <t>Max Queue
Length
(LVU)</t>
  </si>
  <si>
    <t>Vehicle
Queue
Length (m)</t>
  </si>
  <si>
    <t>Travel
Time Cost
(BDT)</t>
  </si>
  <si>
    <t>Fuel
Cost
(BDT)</t>
  </si>
  <si>
    <t>Electricity
Cost (BDT)</t>
  </si>
  <si>
    <t>Pollution
Cost (BDT)</t>
  </si>
  <si>
    <t>Total VOC
(BDT)</t>
  </si>
  <si>
    <t>Total Cost
Per Camera
(BDT)</t>
  </si>
  <si>
    <t>Total Cost
Intersection
@D=0.55 (BDT)</t>
  </si>
  <si>
    <t>08:00-08:15</t>
  </si>
  <si>
    <t>OVERSATURATED (μ ≤ λ)</t>
  </si>
  <si>
    <t>N/A</t>
  </si>
  <si>
    <t>08:30-08:45</t>
  </si>
  <si>
    <t>09:00-09:15</t>
  </si>
  <si>
    <t>09:30-09:45</t>
  </si>
  <si>
    <t>OK (μ &gt; λ)</t>
  </si>
  <si>
    <t>12:00-12:15</t>
  </si>
  <si>
    <t>12:30-12:45</t>
  </si>
  <si>
    <t>13:00-13:15</t>
  </si>
  <si>
    <t>13:30-13:45</t>
  </si>
  <si>
    <t>17:00-17:15</t>
  </si>
  <si>
    <t>17:30-17:45</t>
  </si>
  <si>
    <t>18:00-18:15</t>
  </si>
  <si>
    <t>18:30-18:45</t>
  </si>
  <si>
    <t>Traffic Analysis Consolidated Report — Cam-3 | 17.12.2025 (Wednesday)</t>
  </si>
  <si>
    <t>N/A (μ ≤ λ)</t>
  </si>
  <si>
    <t>Traffic Analysis Consolidated Report — Cam-3 | 19.12.2025 (Friday)</t>
  </si>
  <si>
    <t>Traffic Analysis Consolidated Report — 14.12.2025 (Sunday)</t>
  </si>
  <si>
    <t>PHF</t>
  </si>
  <si>
    <t>LOS</t>
  </si>
  <si>
    <t>A</t>
  </si>
  <si>
    <t>B</t>
  </si>
  <si>
    <t>Total for 3 hours</t>
  </si>
  <si>
    <t>Total for 12 hours</t>
  </si>
  <si>
    <t>For weekdays</t>
  </si>
  <si>
    <t>Sunday</t>
  </si>
  <si>
    <t>Wednesday</t>
  </si>
  <si>
    <t>Total for 12 hours daylight</t>
  </si>
  <si>
    <t>Average</t>
  </si>
  <si>
    <t>Friday</t>
  </si>
  <si>
    <t>For Weekends</t>
  </si>
  <si>
    <t>Grand Total</t>
  </si>
  <si>
    <t>Capacity</t>
  </si>
  <si>
    <t>Total for 1 hours</t>
  </si>
  <si>
    <t>V/C</t>
  </si>
  <si>
    <t>F</t>
  </si>
  <si>
    <t>Total for 1 hour</t>
  </si>
  <si>
    <t xml:space="preserve">LOS </t>
  </si>
  <si>
    <t>Total Cost
Per Camera Excluding Fuel+Electricity
(BDT)</t>
  </si>
  <si>
    <t>Total Cost
Intersection
@D=0.55 (BDT) Excluding Fuel+Electricity</t>
  </si>
  <si>
    <t>Average speed</t>
  </si>
  <si>
    <t>Average Speed</t>
  </si>
  <si>
    <t>for 240 working days</t>
  </si>
  <si>
    <t>for 125 days</t>
  </si>
  <si>
    <t>10 CRORE 73 LAKH 80 THOUSAND 785 TAKA ANNUALLY</t>
  </si>
  <si>
    <t>Time
Period  (considering 12 hrs daylight in a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</si>
</sst>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3F3F76"/>
      <name val="Times New Roman"/>
      <family val="1"/>
    </font>
    <font>
      <b/>
      <sz val="14"/>
      <color rgb="FF3F3F76"/>
      <name val="Times New Roman"/>
      <family val="1"/>
    </font>
    <font>
      <b/>
      <sz val="11"/>
      <color rgb="FF006100"/>
      <name val="Times New Roman"/>
      <family val="1"/>
    </font>
    <font>
      <b/>
      <sz val="12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9"/>
      <color rgb="FF000000"/>
      <name val="Arial"/>
      <family val="2"/>
    </font>
    <font>
      <sz val="11"/>
      <color theme="1"/>
      <name val="Times New Roman"/>
      <family val="1"/>
    </font>
    <font>
      <b/>
      <sz val="9"/>
      <name val="Arial"/>
      <family val="2"/>
    </font>
    <font>
      <b/>
      <sz val="11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B0C4DE"/>
      </patternFill>
    </fill>
    <fill>
      <patternFill patternType="solid">
        <fgColor rgb="FFFFFDE7"/>
        <b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0C4DE"/>
      </left>
      <right style="thin">
        <color rgb="FFB0C4DE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6">
    <xf numFmtId="0" fontId="0" fillId="0" borderId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3" applyNumberFormat="0" applyAlignment="0" applyProtection="0"/>
    <xf numFmtId="0" fontId="11" fillId="10" borderId="4" applyNumberFormat="0" applyAlignment="0" applyProtection="0"/>
    <xf numFmtId="0" fontId="7" fillId="11" borderId="0" applyNumberFormat="0" applyBorder="0" applyAlignment="0" applyProtection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10" fillId="9" borderId="3" xfId="3"/>
    <xf numFmtId="0" fontId="14" fillId="7" borderId="3" xfId="1" applyFont="1" applyBorder="1"/>
    <xf numFmtId="2" fontId="14" fillId="7" borderId="3" xfId="1" applyNumberFormat="1" applyFont="1" applyBorder="1"/>
    <xf numFmtId="0" fontId="11" fillId="10" borderId="4" xfId="4"/>
    <xf numFmtId="0" fontId="15" fillId="10" borderId="4" xfId="4" applyFont="1" applyAlignment="1">
      <alignment horizontal="center" vertical="center" wrapText="1"/>
    </xf>
    <xf numFmtId="0" fontId="15" fillId="10" borderId="4" xfId="4" applyFont="1"/>
    <xf numFmtId="0" fontId="7" fillId="11" borderId="0" xfId="5" applyBorder="1" applyAlignment="1">
      <alignment horizontal="center" vertical="center" wrapText="1"/>
    </xf>
    <xf numFmtId="0" fontId="7" fillId="11" borderId="0" xfId="5" applyBorder="1" applyAlignment="1">
      <alignment horizontal="right" vertical="center"/>
    </xf>
    <xf numFmtId="0" fontId="16" fillId="10" borderId="4" xfId="4" applyFont="1"/>
    <xf numFmtId="0" fontId="17" fillId="6" borderId="0" xfId="0" applyFont="1" applyFill="1" applyAlignment="1">
      <alignment horizontal="left" vertical="center"/>
    </xf>
    <xf numFmtId="0" fontId="11" fillId="10" borderId="4" xfId="4" applyAlignment="1">
      <alignment horizontal="left" vertical="center"/>
    </xf>
    <xf numFmtId="0" fontId="18" fillId="8" borderId="5" xfId="2" applyFont="1" applyBorder="1" applyAlignment="1">
      <alignment horizontal="left" vertical="center"/>
    </xf>
    <xf numFmtId="0" fontId="18" fillId="8" borderId="0" xfId="2" applyFont="1"/>
    <xf numFmtId="0" fontId="18" fillId="8" borderId="0" xfId="2" applyFont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10" borderId="0" xfId="4" applyBorder="1" applyAlignment="1">
      <alignment horizontal="left" vertical="center"/>
    </xf>
    <xf numFmtId="0" fontId="20" fillId="0" borderId="0" xfId="0" applyFont="1"/>
    <xf numFmtId="0" fontId="4" fillId="4" borderId="0" xfId="0" applyFont="1" applyFill="1" applyAlignment="1">
      <alignment horizontal="center" vertical="center"/>
    </xf>
    <xf numFmtId="0" fontId="0" fillId="0" borderId="0" xfId="0"/>
    <xf numFmtId="0" fontId="11" fillId="10" borderId="9" xfId="4" applyBorder="1" applyAlignment="1">
      <alignment horizontal="center" vertical="center"/>
    </xf>
    <xf numFmtId="0" fontId="11" fillId="10" borderId="10" xfId="4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6" fillId="10" borderId="9" xfId="4" applyFont="1" applyBorder="1" applyAlignment="1">
      <alignment horizontal="center" vertical="center"/>
    </xf>
    <xf numFmtId="0" fontId="16" fillId="10" borderId="10" xfId="4" applyFont="1" applyBorder="1" applyAlignment="1">
      <alignment horizontal="center" vertical="center"/>
    </xf>
    <xf numFmtId="0" fontId="13" fillId="9" borderId="6" xfId="3" applyFont="1" applyBorder="1" applyAlignment="1">
      <alignment horizontal="center"/>
    </xf>
    <xf numFmtId="0" fontId="13" fillId="9" borderId="7" xfId="3" applyFont="1" applyBorder="1" applyAlignment="1">
      <alignment horizontal="center"/>
    </xf>
    <xf numFmtId="0" fontId="13" fillId="9" borderId="8" xfId="3" applyFont="1" applyBorder="1" applyAlignment="1">
      <alignment horizontal="center"/>
    </xf>
    <xf numFmtId="0" fontId="12" fillId="9" borderId="6" xfId="3" applyFont="1" applyBorder="1" applyAlignment="1">
      <alignment horizontal="center"/>
    </xf>
    <xf numFmtId="0" fontId="10" fillId="9" borderId="7" xfId="3" applyBorder="1" applyAlignment="1">
      <alignment horizontal="center"/>
    </xf>
    <xf numFmtId="0" fontId="10" fillId="9" borderId="8" xfId="3" applyBorder="1" applyAlignment="1">
      <alignment horizontal="center"/>
    </xf>
  </cellXfs>
  <cellStyles count="6">
    <cellStyle name="20% - Accent4" xfId="5" builtinId="42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selection activeCell="B16" sqref="B16"/>
    </sheetView>
  </sheetViews>
  <sheetFormatPr defaultRowHeight="14.4" x14ac:dyDescent="0.3"/>
  <cols>
    <col min="1" max="1" width="17.5546875" customWidth="1"/>
    <col min="2" max="2" width="8" customWidth="1"/>
    <col min="3" max="3" width="7" customWidth="1"/>
    <col min="8" max="8" width="8" customWidth="1"/>
    <col min="9" max="9" width="10" customWidth="1"/>
    <col min="10" max="10" width="9" customWidth="1"/>
    <col min="11" max="11" width="8" customWidth="1"/>
    <col min="12" max="12" width="7" customWidth="1"/>
    <col min="13" max="13" width="12" customWidth="1"/>
    <col min="14" max="14" width="8" customWidth="1"/>
    <col min="15" max="15" width="22" customWidth="1"/>
    <col min="16" max="16" width="10" customWidth="1"/>
    <col min="17" max="17" width="11" customWidth="1"/>
    <col min="18" max="18" width="10" customWidth="1"/>
    <col min="20" max="20" width="11" customWidth="1"/>
    <col min="22" max="22" width="9" customWidth="1"/>
    <col min="23" max="23" width="12" customWidth="1"/>
    <col min="24" max="24" width="11" customWidth="1"/>
    <col min="25" max="25" width="10" customWidth="1"/>
    <col min="26" max="26" width="12" customWidth="1"/>
    <col min="27" max="27" width="14" customWidth="1"/>
  </cols>
  <sheetData>
    <row r="1" spans="1:27" ht="21.75" customHeight="1" x14ac:dyDescent="0.3">
      <c r="A1" s="35" t="s">
        <v>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4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5.75" customHeight="1" x14ac:dyDescent="0.3">
      <c r="A3" s="2" t="s">
        <v>27</v>
      </c>
      <c r="B3" s="3">
        <v>1613.5</v>
      </c>
      <c r="C3" s="3">
        <v>24</v>
      </c>
      <c r="D3" s="3">
        <v>4</v>
      </c>
      <c r="E3" s="3">
        <v>8</v>
      </c>
      <c r="F3" s="3">
        <v>5</v>
      </c>
      <c r="G3" s="3">
        <v>8</v>
      </c>
      <c r="H3" s="3">
        <v>9</v>
      </c>
      <c r="I3" s="3">
        <v>58</v>
      </c>
      <c r="J3" s="3">
        <v>741</v>
      </c>
      <c r="K3" s="3">
        <v>14</v>
      </c>
      <c r="L3" s="3">
        <v>17</v>
      </c>
      <c r="M3" s="3">
        <v>772</v>
      </c>
      <c r="N3" s="3">
        <v>4.0625</v>
      </c>
      <c r="O3" s="4" t="s">
        <v>28</v>
      </c>
      <c r="P3" s="3">
        <v>60</v>
      </c>
      <c r="Q3" s="3">
        <v>1.0421689999999999</v>
      </c>
      <c r="R3" s="3" t="s">
        <v>29</v>
      </c>
      <c r="S3" s="3">
        <v>28.876999999999999</v>
      </c>
      <c r="T3" s="3">
        <v>63.188099999999999</v>
      </c>
      <c r="U3" s="3">
        <v>54.6877</v>
      </c>
      <c r="V3" s="3">
        <v>81.031999999999996</v>
      </c>
      <c r="W3" s="3">
        <v>7.08</v>
      </c>
      <c r="X3" s="3">
        <v>32.169600000000003</v>
      </c>
      <c r="Y3" s="3">
        <v>2787.3153000000002</v>
      </c>
      <c r="Z3" s="3">
        <v>2962.2847000000002</v>
      </c>
      <c r="AA3" s="3">
        <v>5385.9721</v>
      </c>
    </row>
    <row r="4" spans="1:27" ht="15.75" customHeight="1" x14ac:dyDescent="0.3">
      <c r="A4" s="2" t="s">
        <v>30</v>
      </c>
      <c r="B4" s="3">
        <v>1306.75</v>
      </c>
      <c r="C4" s="3">
        <v>39</v>
      </c>
      <c r="D4" s="3">
        <v>10</v>
      </c>
      <c r="E4" s="3">
        <v>31</v>
      </c>
      <c r="F4" s="3">
        <v>12</v>
      </c>
      <c r="G4" s="3">
        <v>3</v>
      </c>
      <c r="H4" s="3">
        <v>13</v>
      </c>
      <c r="I4" s="3">
        <v>108</v>
      </c>
      <c r="J4" s="3">
        <v>530</v>
      </c>
      <c r="K4" s="3">
        <v>68</v>
      </c>
      <c r="L4" s="3">
        <v>33</v>
      </c>
      <c r="M4" s="3">
        <v>631</v>
      </c>
      <c r="N4" s="3">
        <v>4.9603999999999999</v>
      </c>
      <c r="O4" s="4" t="s">
        <v>28</v>
      </c>
      <c r="P4" s="3">
        <v>60</v>
      </c>
      <c r="Q4" s="3">
        <v>1.050068</v>
      </c>
      <c r="R4" s="3" t="s">
        <v>29</v>
      </c>
      <c r="S4" s="3">
        <v>25.872399999999999</v>
      </c>
      <c r="T4" s="3">
        <v>56.613599999999998</v>
      </c>
      <c r="U4" s="3">
        <v>50.3018</v>
      </c>
      <c r="V4" s="3">
        <v>125.6165</v>
      </c>
      <c r="W4" s="3">
        <v>5.1022999999999996</v>
      </c>
      <c r="X4" s="3">
        <v>39.920299999999997</v>
      </c>
      <c r="Y4" s="3">
        <v>2912.5360999999998</v>
      </c>
      <c r="Z4" s="3">
        <v>3133.4769000000001</v>
      </c>
      <c r="AA4" s="3">
        <v>5697.2308000000003</v>
      </c>
    </row>
    <row r="5" spans="1:27" ht="15.75" customHeight="1" x14ac:dyDescent="0.3">
      <c r="A5" s="2" t="s">
        <v>31</v>
      </c>
      <c r="B5" s="3">
        <v>1613.5</v>
      </c>
      <c r="C5" s="3">
        <v>24</v>
      </c>
      <c r="D5" s="3">
        <v>4</v>
      </c>
      <c r="E5" s="3">
        <v>8</v>
      </c>
      <c r="F5" s="3">
        <v>5</v>
      </c>
      <c r="G5" s="3">
        <v>8</v>
      </c>
      <c r="H5" s="3">
        <v>9</v>
      </c>
      <c r="I5" s="3">
        <v>58</v>
      </c>
      <c r="J5" s="3">
        <v>741</v>
      </c>
      <c r="K5" s="3">
        <v>14</v>
      </c>
      <c r="L5" s="3">
        <v>17</v>
      </c>
      <c r="M5" s="3">
        <v>772</v>
      </c>
      <c r="N5" s="3">
        <v>4.0625</v>
      </c>
      <c r="O5" s="4" t="s">
        <v>28</v>
      </c>
      <c r="P5" s="3">
        <v>60</v>
      </c>
      <c r="Q5" s="3">
        <v>1.0421689999999999</v>
      </c>
      <c r="R5" s="3" t="s">
        <v>29</v>
      </c>
      <c r="S5" s="3">
        <v>28.876999999999999</v>
      </c>
      <c r="T5" s="3">
        <v>63.188099999999999</v>
      </c>
      <c r="U5" s="3">
        <v>54.6877</v>
      </c>
      <c r="V5" s="3">
        <v>81.031999999999996</v>
      </c>
      <c r="W5" s="3">
        <v>7.08</v>
      </c>
      <c r="X5" s="3">
        <v>32.169600000000003</v>
      </c>
      <c r="Y5" s="3">
        <v>2787.3153000000002</v>
      </c>
      <c r="Z5" s="3">
        <v>2962.2847000000002</v>
      </c>
      <c r="AA5" s="3">
        <v>5385.9721</v>
      </c>
    </row>
    <row r="6" spans="1:27" ht="15.75" customHeight="1" x14ac:dyDescent="0.3">
      <c r="A6" s="2" t="s">
        <v>32</v>
      </c>
      <c r="B6" s="3">
        <v>1930</v>
      </c>
      <c r="C6" s="3">
        <v>19</v>
      </c>
      <c r="D6" s="3">
        <v>1</v>
      </c>
      <c r="E6" s="3">
        <v>16</v>
      </c>
      <c r="F6" s="3">
        <v>6</v>
      </c>
      <c r="G6" s="3">
        <v>7</v>
      </c>
      <c r="H6" s="3">
        <v>13</v>
      </c>
      <c r="I6" s="3">
        <v>62</v>
      </c>
      <c r="J6" s="3">
        <v>893</v>
      </c>
      <c r="K6" s="3">
        <v>25</v>
      </c>
      <c r="L6" s="3">
        <v>20</v>
      </c>
      <c r="M6" s="3">
        <v>938</v>
      </c>
      <c r="N6" s="3">
        <v>4.6969000000000003</v>
      </c>
      <c r="O6" s="4" t="s">
        <v>33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ht="15.75" customHeight="1" x14ac:dyDescent="0.3">
      <c r="A7" s="2" t="s">
        <v>34</v>
      </c>
      <c r="B7" s="3">
        <v>1620.25</v>
      </c>
      <c r="C7" s="3">
        <v>23</v>
      </c>
      <c r="D7" s="3">
        <v>8</v>
      </c>
      <c r="E7" s="3">
        <v>17</v>
      </c>
      <c r="F7" s="3">
        <v>4</v>
      </c>
      <c r="G7" s="3">
        <v>10</v>
      </c>
      <c r="H7" s="3">
        <v>13</v>
      </c>
      <c r="I7" s="3">
        <v>75</v>
      </c>
      <c r="J7" s="3">
        <v>742</v>
      </c>
      <c r="K7" s="3">
        <v>14</v>
      </c>
      <c r="L7" s="3">
        <v>8</v>
      </c>
      <c r="M7" s="3">
        <v>764</v>
      </c>
      <c r="N7" s="3">
        <v>4.6577999999999999</v>
      </c>
      <c r="O7" s="4" t="s">
        <v>28</v>
      </c>
      <c r="P7" s="3">
        <v>0</v>
      </c>
      <c r="Q7" s="3">
        <v>0</v>
      </c>
      <c r="R7" s="3" t="s">
        <v>29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ht="15.75" customHeight="1" x14ac:dyDescent="0.3">
      <c r="A8" s="2" t="s">
        <v>35</v>
      </c>
      <c r="B8" s="3">
        <v>1372.75</v>
      </c>
      <c r="C8" s="3">
        <v>13</v>
      </c>
      <c r="D8" s="3">
        <v>5</v>
      </c>
      <c r="E8" s="3">
        <v>3</v>
      </c>
      <c r="F8" s="3">
        <v>2</v>
      </c>
      <c r="G8" s="3">
        <v>2</v>
      </c>
      <c r="H8" s="3">
        <v>6</v>
      </c>
      <c r="I8" s="3">
        <v>31</v>
      </c>
      <c r="J8" s="3">
        <v>644</v>
      </c>
      <c r="K8" s="3">
        <v>21</v>
      </c>
      <c r="L8" s="3">
        <v>14</v>
      </c>
      <c r="M8" s="3">
        <v>679</v>
      </c>
      <c r="N8" s="3">
        <v>3.3898000000000001</v>
      </c>
      <c r="O8" s="4" t="s">
        <v>28</v>
      </c>
      <c r="P8" s="3">
        <v>140</v>
      </c>
      <c r="Q8" s="3">
        <v>3.6084510000000001</v>
      </c>
      <c r="R8" s="3" t="s">
        <v>29</v>
      </c>
      <c r="S8" s="3">
        <v>42.356900000000003</v>
      </c>
      <c r="T8" s="3">
        <v>92.684700000000007</v>
      </c>
      <c r="U8" s="3">
        <v>45.802500000000002</v>
      </c>
      <c r="V8" s="3">
        <v>134.06389999999999</v>
      </c>
      <c r="W8" s="3">
        <v>21.305</v>
      </c>
      <c r="X8" s="3">
        <v>47.064900000000002</v>
      </c>
      <c r="Y8" s="3">
        <v>6769.5636999999997</v>
      </c>
      <c r="Z8" s="3">
        <v>7017.8</v>
      </c>
      <c r="AA8" s="3">
        <v>12759.636399999999</v>
      </c>
    </row>
    <row r="9" spans="1:27" ht="15.75" customHeight="1" x14ac:dyDescent="0.3">
      <c r="A9" s="2" t="s">
        <v>36</v>
      </c>
      <c r="B9" s="3">
        <v>1516.25</v>
      </c>
      <c r="C9" s="3">
        <v>15</v>
      </c>
      <c r="D9" s="3">
        <v>3</v>
      </c>
      <c r="E9" s="3">
        <v>17</v>
      </c>
      <c r="F9" s="3">
        <v>6</v>
      </c>
      <c r="G9" s="3">
        <v>1</v>
      </c>
      <c r="H9" s="3">
        <v>5</v>
      </c>
      <c r="I9" s="3">
        <v>47</v>
      </c>
      <c r="J9" s="3">
        <v>709</v>
      </c>
      <c r="K9" s="3">
        <v>8</v>
      </c>
      <c r="L9" s="3">
        <v>16</v>
      </c>
      <c r="M9" s="3">
        <v>733</v>
      </c>
      <c r="N9" s="3">
        <v>4.8795999999999999</v>
      </c>
      <c r="O9" s="4" t="s">
        <v>28</v>
      </c>
      <c r="P9" s="3">
        <v>140</v>
      </c>
      <c r="Q9" s="3">
        <v>1.250427</v>
      </c>
      <c r="R9" s="3" t="s">
        <v>29</v>
      </c>
      <c r="S9" s="3">
        <v>130.10810000000001</v>
      </c>
      <c r="T9" s="3">
        <v>284.70030000000003</v>
      </c>
      <c r="U9" s="3">
        <v>44.206499999999998</v>
      </c>
      <c r="V9" s="3">
        <v>62.892299999999999</v>
      </c>
      <c r="W9" s="3">
        <v>8.1279000000000003</v>
      </c>
      <c r="X9" s="3">
        <v>20.102399999999999</v>
      </c>
      <c r="Y9" s="3">
        <v>3673.4386</v>
      </c>
      <c r="Z9" s="3">
        <v>3808.7678000000001</v>
      </c>
      <c r="AA9" s="3">
        <v>6925.0322999999999</v>
      </c>
    </row>
    <row r="10" spans="1:27" ht="15.75" customHeight="1" x14ac:dyDescent="0.3">
      <c r="A10" s="2" t="s">
        <v>37</v>
      </c>
      <c r="B10" s="3">
        <v>1296.5</v>
      </c>
      <c r="C10" s="3">
        <v>23</v>
      </c>
      <c r="D10" s="3">
        <v>3</v>
      </c>
      <c r="E10" s="3">
        <v>16</v>
      </c>
      <c r="F10" s="3">
        <v>3</v>
      </c>
      <c r="G10" s="3">
        <v>5</v>
      </c>
      <c r="H10" s="3">
        <v>3</v>
      </c>
      <c r="I10" s="3">
        <v>53</v>
      </c>
      <c r="J10" s="3">
        <v>593</v>
      </c>
      <c r="K10" s="3">
        <v>18</v>
      </c>
      <c r="L10" s="3">
        <v>16</v>
      </c>
      <c r="M10" s="3">
        <v>627</v>
      </c>
      <c r="N10" s="3">
        <v>4.6577999999999999</v>
      </c>
      <c r="O10" s="4" t="s">
        <v>28</v>
      </c>
      <c r="P10" s="3">
        <v>120</v>
      </c>
      <c r="Q10" s="3">
        <v>2.1735289999999998</v>
      </c>
      <c r="R10" s="3" t="s">
        <v>29</v>
      </c>
      <c r="S10" s="3">
        <v>49.497700000000002</v>
      </c>
      <c r="T10" s="3">
        <v>108.31</v>
      </c>
      <c r="U10" s="3">
        <v>46.414299999999997</v>
      </c>
      <c r="V10" s="3">
        <v>136.94470000000001</v>
      </c>
      <c r="W10" s="3">
        <v>11.816700000000001</v>
      </c>
      <c r="X10" s="3">
        <v>42.488100000000003</v>
      </c>
      <c r="Y10" s="3">
        <v>5330.3531999999996</v>
      </c>
      <c r="Z10" s="3">
        <v>5568.0168999999996</v>
      </c>
      <c r="AA10" s="3">
        <v>10123.666999999999</v>
      </c>
    </row>
    <row r="11" spans="1:27" ht="15.75" customHeight="1" x14ac:dyDescent="0.3">
      <c r="A11" s="2" t="s">
        <v>38</v>
      </c>
      <c r="B11" s="3">
        <v>423.5</v>
      </c>
      <c r="C11" s="3">
        <v>10</v>
      </c>
      <c r="D11" s="3">
        <v>3</v>
      </c>
      <c r="E11" s="3">
        <v>16</v>
      </c>
      <c r="F11" s="3">
        <v>1</v>
      </c>
      <c r="G11" s="3">
        <v>4</v>
      </c>
      <c r="H11" s="3">
        <v>3</v>
      </c>
      <c r="I11" s="3">
        <v>37</v>
      </c>
      <c r="J11" s="3">
        <v>186</v>
      </c>
      <c r="K11" s="3">
        <v>4</v>
      </c>
      <c r="L11" s="3">
        <v>1</v>
      </c>
      <c r="M11" s="3">
        <v>191</v>
      </c>
      <c r="N11" s="3">
        <v>4.3788</v>
      </c>
      <c r="O11" s="4" t="s">
        <v>28</v>
      </c>
      <c r="P11" s="3">
        <v>260</v>
      </c>
      <c r="Q11" s="3">
        <v>2.2997079999999999</v>
      </c>
      <c r="R11" s="3" t="s">
        <v>29</v>
      </c>
      <c r="S11" s="3">
        <v>74.958299999999994</v>
      </c>
      <c r="T11" s="3">
        <v>164.02250000000001</v>
      </c>
      <c r="U11" s="3">
        <v>20.101800000000001</v>
      </c>
      <c r="V11" s="3">
        <v>83.100300000000004</v>
      </c>
      <c r="W11" s="3">
        <v>3.9216000000000002</v>
      </c>
      <c r="X11" s="3">
        <v>30.221299999999999</v>
      </c>
      <c r="Y11" s="3">
        <v>1706.3379</v>
      </c>
      <c r="Z11" s="3">
        <v>1843.6829</v>
      </c>
      <c r="AA11" s="3">
        <v>3352.1507000000001</v>
      </c>
    </row>
    <row r="12" spans="1:27" ht="15.75" customHeight="1" x14ac:dyDescent="0.3">
      <c r="A12" s="2" t="s">
        <v>39</v>
      </c>
      <c r="B12" s="3">
        <v>1506</v>
      </c>
      <c r="C12" s="3">
        <v>15</v>
      </c>
      <c r="D12" s="3">
        <v>7</v>
      </c>
      <c r="E12" s="3">
        <v>14</v>
      </c>
      <c r="F12" s="3">
        <v>5</v>
      </c>
      <c r="G12" s="3">
        <v>5</v>
      </c>
      <c r="H12" s="3">
        <v>3</v>
      </c>
      <c r="I12" s="3">
        <v>49</v>
      </c>
      <c r="J12" s="3">
        <v>705</v>
      </c>
      <c r="K12" s="3">
        <v>12</v>
      </c>
      <c r="L12" s="3">
        <v>8</v>
      </c>
      <c r="M12" s="3">
        <v>725</v>
      </c>
      <c r="N12" s="3">
        <v>4.3987999999999996</v>
      </c>
      <c r="O12" s="4" t="s">
        <v>28</v>
      </c>
      <c r="P12" s="3">
        <v>100</v>
      </c>
      <c r="Q12" s="3">
        <v>1.767873</v>
      </c>
      <c r="R12" s="3" t="s">
        <v>29</v>
      </c>
      <c r="S12" s="3">
        <v>45.67</v>
      </c>
      <c r="T12" s="3">
        <v>99.934299999999993</v>
      </c>
      <c r="U12" s="3">
        <v>55.692100000000003</v>
      </c>
      <c r="V12" s="3">
        <v>92.958100000000002</v>
      </c>
      <c r="W12" s="3">
        <v>11.426500000000001</v>
      </c>
      <c r="X12" s="3">
        <v>37.702800000000003</v>
      </c>
      <c r="Y12" s="3">
        <v>4678.3504999999996</v>
      </c>
      <c r="Z12" s="3">
        <v>4876.13</v>
      </c>
      <c r="AA12" s="3">
        <v>8865.6910000000007</v>
      </c>
    </row>
    <row r="13" spans="1:27" ht="15.75" customHeight="1" x14ac:dyDescent="0.3">
      <c r="A13" s="2" t="s">
        <v>40</v>
      </c>
      <c r="B13" s="3">
        <v>1039.25</v>
      </c>
      <c r="C13" s="3">
        <v>21</v>
      </c>
      <c r="D13" s="3">
        <v>2</v>
      </c>
      <c r="E13" s="3">
        <v>1</v>
      </c>
      <c r="F13" s="3">
        <v>1</v>
      </c>
      <c r="G13" s="3">
        <v>5</v>
      </c>
      <c r="H13" s="3">
        <v>4</v>
      </c>
      <c r="I13" s="3">
        <v>34</v>
      </c>
      <c r="J13" s="3">
        <v>481</v>
      </c>
      <c r="K13" s="3">
        <v>3</v>
      </c>
      <c r="L13" s="3">
        <v>13</v>
      </c>
      <c r="M13" s="3">
        <v>497</v>
      </c>
      <c r="N13" s="3">
        <v>3.5377000000000001</v>
      </c>
      <c r="O13" s="4" t="s">
        <v>28</v>
      </c>
      <c r="P13" s="3">
        <v>100</v>
      </c>
      <c r="Q13" s="3">
        <v>1.820465</v>
      </c>
      <c r="R13" s="3" t="s">
        <v>29</v>
      </c>
      <c r="S13" s="3">
        <v>35.976599999999998</v>
      </c>
      <c r="T13" s="3">
        <v>78.723399999999998</v>
      </c>
      <c r="U13" s="3">
        <v>47.711399999999998</v>
      </c>
      <c r="V13" s="3">
        <v>93.001400000000004</v>
      </c>
      <c r="W13" s="3">
        <v>8.0279000000000007</v>
      </c>
      <c r="X13" s="3">
        <v>30.015699999999999</v>
      </c>
      <c r="Y13" s="3">
        <v>2739.8708999999999</v>
      </c>
      <c r="Z13" s="3">
        <v>2918.6273000000001</v>
      </c>
      <c r="AA13" s="3">
        <v>5306.5951999999997</v>
      </c>
    </row>
    <row r="14" spans="1:27" ht="15.75" customHeight="1" x14ac:dyDescent="0.3">
      <c r="A14" s="2" t="s">
        <v>41</v>
      </c>
      <c r="B14" s="3">
        <v>945.75</v>
      </c>
      <c r="C14" s="3">
        <v>18</v>
      </c>
      <c r="D14" s="3">
        <v>8</v>
      </c>
      <c r="E14" s="3">
        <v>3</v>
      </c>
      <c r="F14" s="3">
        <v>6</v>
      </c>
      <c r="G14" s="3">
        <v>8</v>
      </c>
      <c r="H14" s="3">
        <v>5</v>
      </c>
      <c r="I14" s="3">
        <v>48</v>
      </c>
      <c r="J14" s="3">
        <v>430</v>
      </c>
      <c r="K14" s="3">
        <v>0</v>
      </c>
      <c r="L14" s="3">
        <v>0</v>
      </c>
      <c r="M14" s="3">
        <v>430</v>
      </c>
      <c r="N14" s="3">
        <v>4.3935000000000004</v>
      </c>
      <c r="O14" s="4" t="s">
        <v>28</v>
      </c>
      <c r="P14" s="3">
        <v>80</v>
      </c>
      <c r="Q14" s="3">
        <v>1.589958</v>
      </c>
      <c r="R14" s="3" t="s">
        <v>29</v>
      </c>
      <c r="S14" s="3">
        <v>28.352599999999999</v>
      </c>
      <c r="T14" s="3">
        <v>62.040599999999998</v>
      </c>
      <c r="U14" s="3">
        <v>31.530100000000001</v>
      </c>
      <c r="V14" s="3">
        <v>99.927999999999997</v>
      </c>
      <c r="W14" s="3">
        <v>6.2679999999999998</v>
      </c>
      <c r="X14" s="3">
        <v>46.421599999999998</v>
      </c>
      <c r="Y14" s="3">
        <v>2694.5983000000001</v>
      </c>
      <c r="Z14" s="3">
        <v>2878.7460000000001</v>
      </c>
      <c r="AA14" s="3">
        <v>5234.0835999999999</v>
      </c>
    </row>
    <row r="15" spans="1:27" ht="15.75" customHeight="1" x14ac:dyDescent="0.3">
      <c r="A15" s="19" t="s">
        <v>50</v>
      </c>
      <c r="B15" s="20">
        <f t="shared" ref="B15:N15" si="0">SUM(B$3:B$14)</f>
        <v>16184</v>
      </c>
      <c r="C15" s="20">
        <f t="shared" si="0"/>
        <v>244</v>
      </c>
      <c r="D15" s="20">
        <f t="shared" si="0"/>
        <v>58</v>
      </c>
      <c r="E15" s="20">
        <f t="shared" si="0"/>
        <v>150</v>
      </c>
      <c r="F15" s="20">
        <f t="shared" si="0"/>
        <v>56</v>
      </c>
      <c r="G15" s="20">
        <f t="shared" si="0"/>
        <v>66</v>
      </c>
      <c r="H15" s="20">
        <f t="shared" si="0"/>
        <v>86</v>
      </c>
      <c r="I15" s="20">
        <f t="shared" si="0"/>
        <v>660</v>
      </c>
      <c r="J15" s="20">
        <f t="shared" si="0"/>
        <v>7395</v>
      </c>
      <c r="K15" s="20">
        <f t="shared" si="0"/>
        <v>201</v>
      </c>
      <c r="L15" s="20">
        <f t="shared" si="0"/>
        <v>163</v>
      </c>
      <c r="M15" s="20">
        <f t="shared" si="0"/>
        <v>7759</v>
      </c>
      <c r="N15" s="20">
        <f t="shared" si="0"/>
        <v>52.076100000000004</v>
      </c>
      <c r="O15" s="20"/>
      <c r="P15" s="20">
        <f t="shared" ref="P15:AA15" si="1">SUM(P$3:P$14)</f>
        <v>1120</v>
      </c>
      <c r="Q15" s="20">
        <f t="shared" si="1"/>
        <v>17.644817</v>
      </c>
      <c r="R15" s="20">
        <f t="shared" si="1"/>
        <v>0</v>
      </c>
      <c r="S15" s="20">
        <f t="shared" si="1"/>
        <v>490.54660000000007</v>
      </c>
      <c r="T15" s="20">
        <f t="shared" si="1"/>
        <v>1073.4056</v>
      </c>
      <c r="U15" s="20">
        <f t="shared" si="1"/>
        <v>451.13590000000005</v>
      </c>
      <c r="V15" s="20">
        <f t="shared" si="1"/>
        <v>990.56920000000014</v>
      </c>
      <c r="W15" s="20">
        <f t="shared" si="1"/>
        <v>90.155900000000003</v>
      </c>
      <c r="X15" s="20">
        <f t="shared" si="1"/>
        <v>358.27629999999999</v>
      </c>
      <c r="Y15" s="20">
        <f t="shared" si="1"/>
        <v>36079.679799999998</v>
      </c>
      <c r="Z15" s="20">
        <f t="shared" si="1"/>
        <v>37969.817200000005</v>
      </c>
      <c r="AA15" s="20">
        <f t="shared" si="1"/>
        <v>69036.031199999998</v>
      </c>
    </row>
    <row r="16" spans="1:27" ht="15.75" customHeight="1" x14ac:dyDescent="0.3">
      <c r="A16" s="19" t="s">
        <v>61</v>
      </c>
      <c r="B16" s="20">
        <f>B$15/3</f>
        <v>5394.666666666667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>
        <f t="shared" ref="U16:AA16" si="2">U$15/3</f>
        <v>150.37863333333334</v>
      </c>
      <c r="V16" s="20">
        <f t="shared" si="2"/>
        <v>330.18973333333338</v>
      </c>
      <c r="W16" s="20">
        <f t="shared" si="2"/>
        <v>30.051966666666669</v>
      </c>
      <c r="X16" s="20">
        <f t="shared" si="2"/>
        <v>119.42543333333333</v>
      </c>
      <c r="Y16" s="20">
        <f t="shared" si="2"/>
        <v>12026.559933333332</v>
      </c>
      <c r="Z16" s="20">
        <f t="shared" si="2"/>
        <v>12656.605733333336</v>
      </c>
      <c r="AA16" s="20">
        <f t="shared" si="2"/>
        <v>23012.010399999999</v>
      </c>
    </row>
    <row r="17" spans="1:27" ht="39" customHeight="1" x14ac:dyDescent="0.3">
      <c r="A17" s="19" t="s">
        <v>55</v>
      </c>
      <c r="B17" s="20">
        <f>B$15*4</f>
        <v>64736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>
        <f t="shared" ref="U17:Z17" si="3">U$15*4</f>
        <v>1804.5436000000002</v>
      </c>
      <c r="V17" s="20">
        <f t="shared" si="3"/>
        <v>3962.2768000000005</v>
      </c>
      <c r="W17" s="20">
        <f t="shared" si="3"/>
        <v>360.62360000000001</v>
      </c>
      <c r="X17" s="20">
        <f t="shared" si="3"/>
        <v>1433.1052</v>
      </c>
      <c r="Y17" s="20">
        <f t="shared" si="3"/>
        <v>144318.71919999999</v>
      </c>
      <c r="Z17" s="20">
        <f t="shared" si="3"/>
        <v>151879.26880000002</v>
      </c>
      <c r="AA17" s="20">
        <f>AA$15*4</f>
        <v>276144.12479999999</v>
      </c>
    </row>
    <row r="18" spans="1:27" ht="15.75" customHeight="1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" thickBot="1" x14ac:dyDescent="0.35"/>
    <row r="20" spans="1:27" ht="15.6" x14ac:dyDescent="0.3">
      <c r="A20" s="17" t="s">
        <v>46</v>
      </c>
      <c r="B20" s="18">
        <f>(SUM(B3:B14)/3)/(MAX(B3:B14)*4)</f>
        <v>0.69879101899827289</v>
      </c>
      <c r="C20" s="18"/>
      <c r="D20" s="18" t="s">
        <v>47</v>
      </c>
      <c r="E20" s="18" t="s">
        <v>48</v>
      </c>
    </row>
    <row r="22" spans="1:27" x14ac:dyDescent="0.3">
      <c r="A22" s="21" t="s">
        <v>60</v>
      </c>
      <c r="B22" s="21">
        <f>(1200*30)/12</f>
        <v>3000</v>
      </c>
      <c r="C22" s="21"/>
      <c r="D22" s="36" t="s">
        <v>47</v>
      </c>
      <c r="E22" s="36" t="s">
        <v>63</v>
      </c>
    </row>
    <row r="23" spans="1:27" ht="15.6" thickTop="1" thickBot="1" x14ac:dyDescent="0.35">
      <c r="A23" s="21" t="s">
        <v>62</v>
      </c>
      <c r="B23" s="21">
        <f>B16/B22</f>
        <v>1.7982222222222224</v>
      </c>
      <c r="C23" s="21"/>
      <c r="D23" s="37"/>
      <c r="E23" s="37"/>
    </row>
    <row r="24" spans="1:27" ht="15.6" thickTop="1" thickBot="1" x14ac:dyDescent="0.35"/>
    <row r="25" spans="1:27" ht="15.6" thickTop="1" thickBot="1" x14ac:dyDescent="0.35">
      <c r="A25" s="21" t="s">
        <v>68</v>
      </c>
      <c r="B25" s="21">
        <f>AVERAGE(N3:N14)</f>
        <v>4.3396750000000006</v>
      </c>
      <c r="C25" s="21"/>
      <c r="D25" s="21" t="s">
        <v>47</v>
      </c>
      <c r="E25" s="21" t="s">
        <v>63</v>
      </c>
    </row>
    <row r="26" spans="1:27" ht="15" thickTop="1" x14ac:dyDescent="0.3"/>
  </sheetData>
  <mergeCells count="3">
    <mergeCell ref="A1:AA1"/>
    <mergeCell ref="D22:D23"/>
    <mergeCell ref="E22:E2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workbookViewId="0">
      <selection activeCell="N3" sqref="N3:T15"/>
    </sheetView>
  </sheetViews>
  <sheetFormatPr defaultRowHeight="14.4" x14ac:dyDescent="0.3"/>
  <cols>
    <col min="1" max="1" width="14" customWidth="1"/>
    <col min="2" max="2" width="9" customWidth="1"/>
    <col min="3" max="3" width="8" customWidth="1"/>
    <col min="14" max="14" width="9" customWidth="1"/>
    <col min="15" max="15" width="18" customWidth="1"/>
    <col min="16" max="16" width="9" customWidth="1"/>
    <col min="18" max="18" width="11" customWidth="1"/>
    <col min="19" max="19" width="9" customWidth="1"/>
    <col min="21" max="21" width="12" customWidth="1"/>
  </cols>
  <sheetData>
    <row r="1" spans="1:27" ht="24" customHeight="1" x14ac:dyDescent="0.3">
      <c r="A1" s="31" t="s">
        <v>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59.4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</row>
    <row r="3" spans="1:27" ht="18" customHeight="1" x14ac:dyDescent="0.3">
      <c r="A3" s="6" t="s">
        <v>27</v>
      </c>
      <c r="B3" s="7">
        <v>1482</v>
      </c>
      <c r="C3" s="7">
        <v>34</v>
      </c>
      <c r="D3" s="7">
        <v>4</v>
      </c>
      <c r="E3" s="7">
        <v>42</v>
      </c>
      <c r="F3" s="7">
        <v>29</v>
      </c>
      <c r="G3" s="7">
        <v>3</v>
      </c>
      <c r="H3" s="7">
        <v>14</v>
      </c>
      <c r="I3" s="7">
        <v>126</v>
      </c>
      <c r="J3" s="7">
        <v>597</v>
      </c>
      <c r="K3" s="7">
        <v>55</v>
      </c>
      <c r="L3" s="7">
        <v>35</v>
      </c>
      <c r="M3" s="7">
        <v>687</v>
      </c>
      <c r="N3" s="7">
        <v>5.5551000000000004</v>
      </c>
      <c r="O3" s="7" t="s">
        <v>28</v>
      </c>
      <c r="P3" s="7">
        <v>70</v>
      </c>
      <c r="Q3" s="7">
        <v>0.62139999999999995</v>
      </c>
      <c r="R3" s="7" t="s">
        <v>43</v>
      </c>
      <c r="S3" s="7">
        <v>67.373500000000007</v>
      </c>
      <c r="T3" s="7">
        <v>147.4256</v>
      </c>
      <c r="U3" s="7">
        <v>52.349899999999998</v>
      </c>
      <c r="V3" s="7">
        <v>91.628500000000003</v>
      </c>
      <c r="W3" s="7">
        <v>3.4009</v>
      </c>
      <c r="X3" s="7">
        <v>35.6873</v>
      </c>
      <c r="Y3" s="7">
        <v>2190.3760000000002</v>
      </c>
      <c r="Z3" s="7">
        <v>2373.4425999999999</v>
      </c>
      <c r="AA3" s="7">
        <v>4315.3501999999999</v>
      </c>
    </row>
    <row r="4" spans="1:27" ht="18" customHeight="1" x14ac:dyDescent="0.3">
      <c r="A4" s="6" t="s">
        <v>30</v>
      </c>
      <c r="B4" s="7">
        <v>1711.5</v>
      </c>
      <c r="C4" s="7">
        <v>27</v>
      </c>
      <c r="D4" s="7">
        <v>6</v>
      </c>
      <c r="E4" s="7">
        <v>34</v>
      </c>
      <c r="F4" s="7">
        <v>23</v>
      </c>
      <c r="G4" s="7">
        <v>9</v>
      </c>
      <c r="H4" s="7">
        <v>16</v>
      </c>
      <c r="I4" s="7">
        <v>115</v>
      </c>
      <c r="J4" s="7">
        <v>716</v>
      </c>
      <c r="K4" s="7">
        <v>46</v>
      </c>
      <c r="L4" s="7">
        <v>36</v>
      </c>
      <c r="M4" s="7">
        <v>798</v>
      </c>
      <c r="N4" s="7">
        <v>4.6478000000000002</v>
      </c>
      <c r="O4" s="7" t="s">
        <v>28</v>
      </c>
      <c r="P4" s="7">
        <v>20</v>
      </c>
      <c r="Q4" s="7">
        <v>0.17510000000000001</v>
      </c>
      <c r="R4" s="7" t="s">
        <v>43</v>
      </c>
      <c r="S4" s="7">
        <v>21.322500000000002</v>
      </c>
      <c r="T4" s="7">
        <v>46.657499999999999</v>
      </c>
      <c r="U4" s="7">
        <v>60.670699999999997</v>
      </c>
      <c r="V4" s="7">
        <v>23.776499999999999</v>
      </c>
      <c r="W4" s="7">
        <v>1.1492</v>
      </c>
      <c r="X4" s="7">
        <v>10.630599999999999</v>
      </c>
      <c r="Y4" s="7">
        <v>573.14890000000003</v>
      </c>
      <c r="Z4" s="7">
        <v>669.3759</v>
      </c>
      <c r="AA4" s="7">
        <v>1217.0471</v>
      </c>
    </row>
    <row r="5" spans="1:27" ht="18" customHeight="1" x14ac:dyDescent="0.3">
      <c r="A5" s="6" t="s">
        <v>31</v>
      </c>
      <c r="B5" s="7">
        <v>1581.25</v>
      </c>
      <c r="C5" s="7">
        <v>20</v>
      </c>
      <c r="D5" s="7">
        <v>4</v>
      </c>
      <c r="E5" s="7">
        <v>21</v>
      </c>
      <c r="F5" s="7">
        <v>9</v>
      </c>
      <c r="G5" s="7">
        <v>8</v>
      </c>
      <c r="H5" s="7">
        <v>10</v>
      </c>
      <c r="I5" s="7">
        <v>72</v>
      </c>
      <c r="J5" s="7">
        <v>709</v>
      </c>
      <c r="K5" s="7">
        <v>31</v>
      </c>
      <c r="L5" s="7">
        <v>19</v>
      </c>
      <c r="M5" s="7">
        <v>759</v>
      </c>
      <c r="N5" s="7">
        <v>5.0861000000000001</v>
      </c>
      <c r="O5" s="7" t="s">
        <v>33</v>
      </c>
      <c r="P5" s="7">
        <v>20</v>
      </c>
      <c r="Q5" s="7">
        <v>0.15820000000000001</v>
      </c>
      <c r="R5" s="7">
        <v>397.04070000000002</v>
      </c>
      <c r="S5" s="7">
        <v>17.5396</v>
      </c>
      <c r="T5" s="7">
        <v>38.379800000000003</v>
      </c>
      <c r="U5" s="7">
        <v>44.6721</v>
      </c>
      <c r="V5" s="7">
        <v>13.4352</v>
      </c>
      <c r="W5" s="7">
        <v>1.0286</v>
      </c>
      <c r="X5" s="7">
        <v>5.7295999999999996</v>
      </c>
      <c r="Y5" s="7">
        <v>521.93619999999999</v>
      </c>
      <c r="Z5" s="7">
        <v>586.80179999999996</v>
      </c>
      <c r="AA5" s="7">
        <v>1066.9123</v>
      </c>
    </row>
    <row r="6" spans="1:27" ht="18" customHeight="1" x14ac:dyDescent="0.3">
      <c r="A6" s="6" t="s">
        <v>32</v>
      </c>
      <c r="B6" s="7">
        <v>1951.25</v>
      </c>
      <c r="C6" s="7">
        <v>26</v>
      </c>
      <c r="D6" s="7">
        <v>3</v>
      </c>
      <c r="E6" s="7">
        <v>29</v>
      </c>
      <c r="F6" s="7">
        <v>5</v>
      </c>
      <c r="G6" s="7">
        <v>4</v>
      </c>
      <c r="H6" s="7">
        <v>4</v>
      </c>
      <c r="I6" s="7">
        <v>71</v>
      </c>
      <c r="J6" s="7">
        <v>900</v>
      </c>
      <c r="K6" s="7">
        <v>77</v>
      </c>
      <c r="L6" s="7">
        <v>13</v>
      </c>
      <c r="M6" s="7">
        <v>990</v>
      </c>
      <c r="N6" s="7">
        <v>5.0401999999999996</v>
      </c>
      <c r="O6" s="7" t="s">
        <v>33</v>
      </c>
      <c r="P6" s="7">
        <v>60</v>
      </c>
      <c r="Q6" s="7">
        <v>0.47220000000000001</v>
      </c>
      <c r="R6" s="7">
        <v>1084.7217000000001</v>
      </c>
      <c r="S6" s="7">
        <v>66.886200000000002</v>
      </c>
      <c r="T6" s="7">
        <v>146.35929999999999</v>
      </c>
      <c r="U6" s="7">
        <v>50.281199999999998</v>
      </c>
      <c r="V6" s="7">
        <v>35.9739</v>
      </c>
      <c r="W6" s="7">
        <v>3.8961999999999999</v>
      </c>
      <c r="X6" s="7">
        <v>10.369199999999999</v>
      </c>
      <c r="Y6" s="7">
        <v>1941.7180000000001</v>
      </c>
      <c r="Z6" s="7">
        <v>2042.2384999999999</v>
      </c>
      <c r="AA6" s="7">
        <v>3713.1608000000001</v>
      </c>
    </row>
    <row r="7" spans="1:27" ht="18" customHeight="1" x14ac:dyDescent="0.3">
      <c r="A7" s="6" t="s">
        <v>34</v>
      </c>
      <c r="B7" s="7">
        <v>1131.5</v>
      </c>
      <c r="C7" s="7">
        <v>13</v>
      </c>
      <c r="D7" s="7">
        <v>2</v>
      </c>
      <c r="E7" s="7">
        <v>18</v>
      </c>
      <c r="F7" s="7">
        <v>1</v>
      </c>
      <c r="G7" s="7">
        <v>2</v>
      </c>
      <c r="H7" s="7">
        <v>6</v>
      </c>
      <c r="I7" s="7">
        <v>42</v>
      </c>
      <c r="J7" s="7">
        <v>531</v>
      </c>
      <c r="K7" s="7">
        <v>22</v>
      </c>
      <c r="L7" s="7">
        <v>5</v>
      </c>
      <c r="M7" s="7">
        <v>558</v>
      </c>
      <c r="N7" s="7">
        <v>5.2987000000000002</v>
      </c>
      <c r="O7" s="7" t="s">
        <v>28</v>
      </c>
      <c r="P7" s="7">
        <v>120</v>
      </c>
      <c r="Q7" s="7">
        <v>2.98</v>
      </c>
      <c r="R7" s="7" t="s">
        <v>43</v>
      </c>
      <c r="S7" s="7">
        <v>29.047699999999999</v>
      </c>
      <c r="T7" s="7">
        <v>63.561599999999999</v>
      </c>
      <c r="U7" s="7">
        <v>30.837900000000001</v>
      </c>
      <c r="V7" s="7">
        <v>124.0115</v>
      </c>
      <c r="W7" s="7">
        <v>14.507300000000001</v>
      </c>
      <c r="X7" s="7">
        <v>35.467799999999997</v>
      </c>
      <c r="Y7" s="7">
        <v>7214.7843999999996</v>
      </c>
      <c r="Z7" s="7">
        <v>7419.6088</v>
      </c>
      <c r="AA7" s="7">
        <v>13490.197899999999</v>
      </c>
    </row>
    <row r="8" spans="1:27" ht="18" customHeight="1" x14ac:dyDescent="0.3">
      <c r="A8" s="6" t="s">
        <v>35</v>
      </c>
      <c r="B8" s="7">
        <v>1245.25</v>
      </c>
      <c r="C8" s="7">
        <v>10</v>
      </c>
      <c r="D8" s="7">
        <v>1</v>
      </c>
      <c r="E8" s="7">
        <v>9</v>
      </c>
      <c r="F8" s="7">
        <v>0</v>
      </c>
      <c r="G8" s="7">
        <v>5</v>
      </c>
      <c r="H8" s="7">
        <v>2</v>
      </c>
      <c r="I8" s="7">
        <v>27</v>
      </c>
      <c r="J8" s="7">
        <v>583</v>
      </c>
      <c r="K8" s="7">
        <v>21</v>
      </c>
      <c r="L8" s="7">
        <v>16</v>
      </c>
      <c r="M8" s="7">
        <v>620</v>
      </c>
      <c r="N8" s="7">
        <v>3.6949999999999998</v>
      </c>
      <c r="O8" s="7" t="s">
        <v>33</v>
      </c>
      <c r="P8" s="7">
        <v>180</v>
      </c>
      <c r="Q8" s="7">
        <v>4.2983000000000002</v>
      </c>
      <c r="R8" s="7">
        <v>1343.71</v>
      </c>
      <c r="S8" s="7">
        <v>41.189</v>
      </c>
      <c r="T8" s="7">
        <v>90.129099999999994</v>
      </c>
      <c r="U8" s="7">
        <v>37.846400000000003</v>
      </c>
      <c r="V8" s="7">
        <v>138.2808</v>
      </c>
      <c r="W8" s="7">
        <v>22.9742</v>
      </c>
      <c r="X8" s="7">
        <v>52.899000000000001</v>
      </c>
      <c r="Y8" s="7">
        <v>7932.7084000000004</v>
      </c>
      <c r="Z8" s="7">
        <v>8184.7088000000003</v>
      </c>
      <c r="AA8" s="7">
        <v>14881.288699999999</v>
      </c>
    </row>
    <row r="9" spans="1:27" ht="18" customHeight="1" x14ac:dyDescent="0.3">
      <c r="A9" s="6" t="s">
        <v>36</v>
      </c>
      <c r="B9" s="7">
        <v>1541.25</v>
      </c>
      <c r="C9" s="7">
        <v>17</v>
      </c>
      <c r="D9" s="7">
        <v>5</v>
      </c>
      <c r="E9" s="7">
        <v>5</v>
      </c>
      <c r="F9" s="7">
        <v>4</v>
      </c>
      <c r="G9" s="7">
        <v>2</v>
      </c>
      <c r="H9" s="7">
        <v>6</v>
      </c>
      <c r="I9" s="7">
        <v>39</v>
      </c>
      <c r="J9" s="7">
        <v>727</v>
      </c>
      <c r="K9" s="7">
        <v>15</v>
      </c>
      <c r="L9" s="7">
        <v>11</v>
      </c>
      <c r="M9" s="7">
        <v>753</v>
      </c>
      <c r="N9" s="7">
        <v>4.2245999999999997</v>
      </c>
      <c r="O9" s="7" t="s">
        <v>33</v>
      </c>
      <c r="P9" s="7">
        <v>120</v>
      </c>
      <c r="Q9" s="7">
        <v>0.97099999999999997</v>
      </c>
      <c r="R9" s="7">
        <v>4119.9273999999996</v>
      </c>
      <c r="S9" s="7">
        <v>102.55159999999999</v>
      </c>
      <c r="T9" s="7">
        <v>224.40170000000001</v>
      </c>
      <c r="U9" s="7">
        <v>50.230699999999999</v>
      </c>
      <c r="V9" s="7">
        <v>46.732999999999997</v>
      </c>
      <c r="W9" s="7">
        <v>6.4715999999999996</v>
      </c>
      <c r="X9" s="7">
        <v>15.766400000000001</v>
      </c>
      <c r="Y9" s="7">
        <v>2543.9623999999999</v>
      </c>
      <c r="Z9" s="7">
        <v>2663.1641</v>
      </c>
      <c r="AA9" s="7">
        <v>4842.1166000000003</v>
      </c>
    </row>
    <row r="10" spans="1:27" ht="18" customHeight="1" x14ac:dyDescent="0.3">
      <c r="A10" s="6" t="s">
        <v>37</v>
      </c>
      <c r="B10" s="7">
        <v>1514</v>
      </c>
      <c r="C10" s="7">
        <v>7</v>
      </c>
      <c r="D10" s="7">
        <v>1</v>
      </c>
      <c r="E10" s="7">
        <v>10</v>
      </c>
      <c r="F10" s="7">
        <v>0</v>
      </c>
      <c r="G10" s="7">
        <v>8</v>
      </c>
      <c r="H10" s="7">
        <v>3</v>
      </c>
      <c r="I10" s="7">
        <v>29</v>
      </c>
      <c r="J10" s="7">
        <v>720</v>
      </c>
      <c r="K10" s="7">
        <v>26</v>
      </c>
      <c r="L10" s="7">
        <v>8</v>
      </c>
      <c r="M10" s="7">
        <v>754</v>
      </c>
      <c r="N10" s="7">
        <v>4.6902999999999997</v>
      </c>
      <c r="O10" s="7" t="s">
        <v>28</v>
      </c>
      <c r="P10" s="7">
        <v>120</v>
      </c>
      <c r="Q10" s="7">
        <v>3.1800999999999999</v>
      </c>
      <c r="R10" s="7" t="s">
        <v>43</v>
      </c>
      <c r="S10" s="7">
        <v>36.9069</v>
      </c>
      <c r="T10" s="7">
        <v>80.759200000000007</v>
      </c>
      <c r="U10" s="7">
        <v>43.454599999999999</v>
      </c>
      <c r="V10" s="7">
        <v>110.0261</v>
      </c>
      <c r="W10" s="7">
        <v>20.991599999999998</v>
      </c>
      <c r="X10" s="7">
        <v>56.183500000000002</v>
      </c>
      <c r="Y10" s="7">
        <v>9005.7365000000009</v>
      </c>
      <c r="Z10" s="7">
        <v>9236.3922000000002</v>
      </c>
      <c r="AA10" s="7">
        <v>16793.440399999999</v>
      </c>
    </row>
    <row r="11" spans="1:27" ht="18" customHeight="1" x14ac:dyDescent="0.3">
      <c r="A11" s="6" t="s">
        <v>38</v>
      </c>
      <c r="B11" s="7">
        <v>1520.5</v>
      </c>
      <c r="C11" s="7">
        <v>13</v>
      </c>
      <c r="D11" s="7">
        <v>4</v>
      </c>
      <c r="E11" s="7">
        <v>18</v>
      </c>
      <c r="F11" s="7">
        <v>7</v>
      </c>
      <c r="G11" s="7">
        <v>5</v>
      </c>
      <c r="H11" s="7">
        <v>7</v>
      </c>
      <c r="I11" s="7">
        <v>54</v>
      </c>
      <c r="J11" s="7">
        <v>702</v>
      </c>
      <c r="K11" s="7">
        <v>19</v>
      </c>
      <c r="L11" s="7">
        <v>13</v>
      </c>
      <c r="M11" s="7">
        <v>734</v>
      </c>
      <c r="N11" s="7">
        <v>5.2194000000000003</v>
      </c>
      <c r="O11" s="7" t="s">
        <v>28</v>
      </c>
      <c r="P11" s="7">
        <v>180</v>
      </c>
      <c r="Q11" s="7">
        <v>1.5742</v>
      </c>
      <c r="R11" s="7" t="s">
        <v>43</v>
      </c>
      <c r="S11" s="7">
        <v>165.5692</v>
      </c>
      <c r="T11" s="7">
        <v>362.29590000000002</v>
      </c>
      <c r="U11" s="7">
        <v>40.216500000000003</v>
      </c>
      <c r="V11" s="7">
        <v>93.285799999999995</v>
      </c>
      <c r="W11" s="7">
        <v>10.1317</v>
      </c>
      <c r="X11" s="7">
        <v>39.9574</v>
      </c>
      <c r="Y11" s="7">
        <v>5065.7655000000004</v>
      </c>
      <c r="Z11" s="7">
        <v>5249.3568999999998</v>
      </c>
      <c r="AA11" s="7">
        <v>9544.2854000000007</v>
      </c>
    </row>
    <row r="12" spans="1:27" ht="18" customHeight="1" x14ac:dyDescent="0.3">
      <c r="A12" s="6" t="s">
        <v>39</v>
      </c>
      <c r="B12" s="7">
        <v>1815.75</v>
      </c>
      <c r="C12" s="7">
        <v>24</v>
      </c>
      <c r="D12" s="7">
        <v>1</v>
      </c>
      <c r="E12" s="7">
        <v>9</v>
      </c>
      <c r="F12" s="7">
        <v>7</v>
      </c>
      <c r="G12" s="7">
        <v>8</v>
      </c>
      <c r="H12" s="7">
        <v>4</v>
      </c>
      <c r="I12" s="7">
        <v>53</v>
      </c>
      <c r="J12" s="7">
        <v>839</v>
      </c>
      <c r="K12" s="7">
        <v>20</v>
      </c>
      <c r="L12" s="7">
        <v>22</v>
      </c>
      <c r="M12" s="7">
        <v>881</v>
      </c>
      <c r="N12" s="7">
        <v>3.9979</v>
      </c>
      <c r="O12" s="7" t="s">
        <v>33</v>
      </c>
      <c r="P12" s="7">
        <v>20</v>
      </c>
      <c r="Q12" s="7">
        <v>0.16109999999999999</v>
      </c>
      <c r="R12" s="7">
        <v>602.5806</v>
      </c>
      <c r="S12" s="7">
        <v>20.067599999999999</v>
      </c>
      <c r="T12" s="7">
        <v>43.911499999999997</v>
      </c>
      <c r="U12" s="7">
        <v>68.899199999999993</v>
      </c>
      <c r="V12" s="7">
        <v>12.2155</v>
      </c>
      <c r="W12" s="7">
        <v>1.2394000000000001</v>
      </c>
      <c r="X12" s="7">
        <v>4.7709999999999999</v>
      </c>
      <c r="Y12" s="7">
        <v>476.48200000000003</v>
      </c>
      <c r="Z12" s="7">
        <v>563.60709999999995</v>
      </c>
      <c r="AA12" s="7">
        <v>1024.7402</v>
      </c>
    </row>
    <row r="13" spans="1:27" ht="18" customHeight="1" x14ac:dyDescent="0.3">
      <c r="A13" s="6" t="s">
        <v>40</v>
      </c>
      <c r="B13" s="7">
        <v>1161</v>
      </c>
      <c r="C13" s="7">
        <v>26</v>
      </c>
      <c r="D13" s="7">
        <v>2</v>
      </c>
      <c r="E13" s="7">
        <v>8</v>
      </c>
      <c r="F13" s="7">
        <v>2</v>
      </c>
      <c r="G13" s="7">
        <v>6</v>
      </c>
      <c r="H13" s="7">
        <v>1</v>
      </c>
      <c r="I13" s="7">
        <v>45</v>
      </c>
      <c r="J13" s="7">
        <v>530</v>
      </c>
      <c r="K13" s="7">
        <v>11</v>
      </c>
      <c r="L13" s="7">
        <v>17</v>
      </c>
      <c r="M13" s="7">
        <v>558</v>
      </c>
      <c r="N13" s="7">
        <v>3.3429000000000002</v>
      </c>
      <c r="O13" s="7" t="s">
        <v>33</v>
      </c>
      <c r="P13" s="7">
        <v>200</v>
      </c>
      <c r="Q13" s="7">
        <v>1.5782</v>
      </c>
      <c r="R13" s="7">
        <v>3842.0830000000001</v>
      </c>
      <c r="S13" s="7">
        <v>127.2452</v>
      </c>
      <c r="T13" s="7">
        <v>278.43579999999997</v>
      </c>
      <c r="U13" s="7">
        <v>44.1387</v>
      </c>
      <c r="V13" s="7">
        <v>98.444000000000003</v>
      </c>
      <c r="W13" s="7">
        <v>7.6685999999999996</v>
      </c>
      <c r="X13" s="7">
        <v>29.6539</v>
      </c>
      <c r="Y13" s="7">
        <v>2507.5427</v>
      </c>
      <c r="Z13" s="7">
        <v>2687.4479999999999</v>
      </c>
      <c r="AA13" s="7">
        <v>4886.2690000000002</v>
      </c>
    </row>
    <row r="14" spans="1:27" ht="18" customHeight="1" x14ac:dyDescent="0.3">
      <c r="A14" s="6" t="s">
        <v>41</v>
      </c>
      <c r="B14" s="7">
        <v>497.75</v>
      </c>
      <c r="C14" s="7">
        <v>9</v>
      </c>
      <c r="D14" s="7">
        <v>1</v>
      </c>
      <c r="E14" s="7">
        <v>3</v>
      </c>
      <c r="F14" s="7">
        <v>1</v>
      </c>
      <c r="G14" s="7">
        <v>0</v>
      </c>
      <c r="H14" s="7">
        <v>3</v>
      </c>
      <c r="I14" s="7">
        <v>17</v>
      </c>
      <c r="J14" s="7">
        <v>233</v>
      </c>
      <c r="K14" s="7">
        <v>2</v>
      </c>
      <c r="L14" s="7">
        <v>5</v>
      </c>
      <c r="M14" s="7">
        <v>240</v>
      </c>
      <c r="N14" s="7">
        <v>3.2387000000000001</v>
      </c>
      <c r="O14" s="7" t="s">
        <v>33</v>
      </c>
      <c r="P14" s="7">
        <v>180</v>
      </c>
      <c r="Q14" s="7">
        <v>1.4942</v>
      </c>
      <c r="R14" s="7">
        <v>17083.2032</v>
      </c>
      <c r="S14" s="7">
        <v>53.0045</v>
      </c>
      <c r="T14" s="7">
        <v>115.9836</v>
      </c>
      <c r="U14" s="7">
        <v>20.523700000000002</v>
      </c>
      <c r="V14" s="7">
        <v>31.962499999999999</v>
      </c>
      <c r="W14" s="7">
        <v>3.1917</v>
      </c>
      <c r="X14" s="7">
        <v>7.4173999999999998</v>
      </c>
      <c r="Y14" s="7">
        <v>987.86760000000004</v>
      </c>
      <c r="Z14" s="7">
        <v>1050.9629</v>
      </c>
      <c r="AA14" s="7">
        <v>1910.8416999999999</v>
      </c>
    </row>
    <row r="15" spans="1:27" ht="18" customHeight="1" x14ac:dyDescent="0.3">
      <c r="A15" s="8" t="s">
        <v>50</v>
      </c>
      <c r="B15" s="9">
        <f t="shared" ref="B15:AA15" si="0">SUM(B$2:B$14)</f>
        <v>17153</v>
      </c>
      <c r="C15" s="9">
        <f t="shared" si="0"/>
        <v>226</v>
      </c>
      <c r="D15" s="9">
        <f t="shared" si="0"/>
        <v>34</v>
      </c>
      <c r="E15" s="9">
        <f t="shared" si="0"/>
        <v>206</v>
      </c>
      <c r="F15" s="9">
        <f t="shared" si="0"/>
        <v>88</v>
      </c>
      <c r="G15" s="9">
        <f t="shared" si="0"/>
        <v>60</v>
      </c>
      <c r="H15" s="9">
        <f t="shared" si="0"/>
        <v>76</v>
      </c>
      <c r="I15" s="9">
        <f t="shared" si="0"/>
        <v>690</v>
      </c>
      <c r="J15" s="9">
        <f t="shared" si="0"/>
        <v>7787</v>
      </c>
      <c r="K15" s="9">
        <f t="shared" si="0"/>
        <v>345</v>
      </c>
      <c r="L15" s="9">
        <f t="shared" si="0"/>
        <v>200</v>
      </c>
      <c r="M15" s="9">
        <f t="shared" si="0"/>
        <v>8332</v>
      </c>
      <c r="N15" s="9">
        <f t="shared" si="0"/>
        <v>54.036700000000003</v>
      </c>
      <c r="O15" s="9">
        <f t="shared" si="0"/>
        <v>0</v>
      </c>
      <c r="P15" s="9">
        <f t="shared" si="0"/>
        <v>1290</v>
      </c>
      <c r="Q15" s="9">
        <f t="shared" si="0"/>
        <v>17.663999999999998</v>
      </c>
      <c r="R15" s="9">
        <f t="shared" si="0"/>
        <v>28473.266599999999</v>
      </c>
      <c r="S15" s="9">
        <f t="shared" si="0"/>
        <v>748.70349999999996</v>
      </c>
      <c r="T15" s="9">
        <f t="shared" si="0"/>
        <v>1638.3005999999998</v>
      </c>
      <c r="U15" s="9">
        <f t="shared" si="0"/>
        <v>544.12160000000006</v>
      </c>
      <c r="V15" s="9">
        <f t="shared" si="0"/>
        <v>819.77329999999995</v>
      </c>
      <c r="W15" s="9">
        <f t="shared" si="0"/>
        <v>96.650999999999996</v>
      </c>
      <c r="X15" s="9">
        <f t="shared" si="0"/>
        <v>304.53310000000005</v>
      </c>
      <c r="Y15" s="9">
        <f t="shared" si="0"/>
        <v>40962.028600000005</v>
      </c>
      <c r="Z15" s="9">
        <f t="shared" si="0"/>
        <v>42727.107599999996</v>
      </c>
      <c r="AA15" s="9">
        <f t="shared" si="0"/>
        <v>77685.650299999994</v>
      </c>
    </row>
    <row r="16" spans="1:27" ht="18" customHeight="1" x14ac:dyDescent="0.3">
      <c r="A16" s="22" t="s">
        <v>64</v>
      </c>
      <c r="B16" s="9">
        <f>B$15/3</f>
        <v>5717.666666666667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>
        <f t="shared" ref="U16:AA16" si="1">U$15/3</f>
        <v>181.37386666666669</v>
      </c>
      <c r="V16" s="9">
        <f t="shared" si="1"/>
        <v>273.25776666666667</v>
      </c>
      <c r="W16" s="9">
        <f t="shared" si="1"/>
        <v>32.216999999999999</v>
      </c>
      <c r="X16" s="9">
        <f t="shared" si="1"/>
        <v>101.51103333333334</v>
      </c>
      <c r="Y16" s="9">
        <f t="shared" si="1"/>
        <v>13654.009533333336</v>
      </c>
      <c r="Z16" s="9">
        <f t="shared" si="1"/>
        <v>14242.369199999999</v>
      </c>
      <c r="AA16" s="9">
        <f t="shared" si="1"/>
        <v>25895.216766666665</v>
      </c>
    </row>
    <row r="17" spans="1:27" ht="18" customHeight="1" x14ac:dyDescent="0.3">
      <c r="A17" s="8" t="s">
        <v>51</v>
      </c>
      <c r="B17" s="9">
        <f>B$15*4</f>
        <v>68612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>
        <f t="shared" ref="U17:AA17" si="2">U$15*4</f>
        <v>2176.4864000000002</v>
      </c>
      <c r="V17" s="9">
        <f t="shared" si="2"/>
        <v>3279.0931999999998</v>
      </c>
      <c r="W17" s="9">
        <f t="shared" si="2"/>
        <v>386.60399999999998</v>
      </c>
      <c r="X17" s="9">
        <f t="shared" si="2"/>
        <v>1218.1324000000002</v>
      </c>
      <c r="Y17" s="9">
        <f t="shared" si="2"/>
        <v>163848.11440000002</v>
      </c>
      <c r="Z17" s="9">
        <f t="shared" si="2"/>
        <v>170908.43039999998</v>
      </c>
      <c r="AA17" s="9">
        <f t="shared" si="2"/>
        <v>310742.60119999998</v>
      </c>
    </row>
    <row r="19" spans="1:27" x14ac:dyDescent="0.3">
      <c r="A19" s="23" t="s">
        <v>46</v>
      </c>
      <c r="B19" s="16">
        <f>(SUM(B3:B14)/3)/(MAX(B3:B14)*4)</f>
        <v>0.7325645953448644</v>
      </c>
      <c r="C19" s="16"/>
      <c r="D19" s="16" t="s">
        <v>47</v>
      </c>
      <c r="E19" s="16" t="s">
        <v>49</v>
      </c>
    </row>
    <row r="20" spans="1:27" ht="15.6" thickTop="1" thickBot="1" x14ac:dyDescent="0.35"/>
    <row r="21" spans="1:27" x14ac:dyDescent="0.3">
      <c r="A21" s="23" t="s">
        <v>60</v>
      </c>
      <c r="B21" s="16">
        <v>3000</v>
      </c>
      <c r="C21" s="16"/>
      <c r="D21" s="16"/>
      <c r="E21" s="16"/>
    </row>
    <row r="22" spans="1:27" ht="15.6" thickTop="1" thickBot="1" x14ac:dyDescent="0.35">
      <c r="A22" s="16" t="s">
        <v>62</v>
      </c>
      <c r="B22" s="16">
        <f>B16/B21</f>
        <v>1.905888888888889</v>
      </c>
      <c r="C22" s="16"/>
      <c r="D22" s="16" t="s">
        <v>65</v>
      </c>
      <c r="E22" s="16" t="s">
        <v>63</v>
      </c>
    </row>
    <row r="23" spans="1:27" ht="15.6" thickTop="1" thickBot="1" x14ac:dyDescent="0.35"/>
    <row r="24" spans="1:27" ht="15.6" thickTop="1" thickBot="1" x14ac:dyDescent="0.35">
      <c r="A24" s="16" t="s">
        <v>68</v>
      </c>
      <c r="B24" s="16">
        <f>AVERAGE(N3:N14)</f>
        <v>4.5030583333333336</v>
      </c>
      <c r="C24" s="16"/>
      <c r="D24" s="16" t="s">
        <v>47</v>
      </c>
      <c r="E24" s="16" t="s">
        <v>63</v>
      </c>
    </row>
    <row r="25" spans="1:27" ht="15" thickTop="1" x14ac:dyDescent="0.3"/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"/>
  <sheetViews>
    <sheetView tabSelected="1" topLeftCell="A2" zoomScale="115" zoomScaleNormal="115" workbookViewId="0">
      <selection activeCell="O17" sqref="O17"/>
    </sheetView>
  </sheetViews>
  <sheetFormatPr defaultRowHeight="14.4" x14ac:dyDescent="0.3"/>
  <cols>
    <col min="1" max="1" width="14" customWidth="1"/>
    <col min="2" max="2" width="9" customWidth="1"/>
    <col min="3" max="3" width="8" customWidth="1"/>
    <col min="14" max="14" width="9" customWidth="1"/>
    <col min="15" max="15" width="26.77734375" customWidth="1"/>
    <col min="16" max="16" width="9" customWidth="1"/>
    <col min="18" max="18" width="11" customWidth="1"/>
    <col min="19" max="19" width="9" customWidth="1"/>
    <col min="21" max="21" width="12" customWidth="1"/>
  </cols>
  <sheetData>
    <row r="1" spans="1:27" ht="24" customHeight="1" x14ac:dyDescent="0.3">
      <c r="A1" s="31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51.7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</row>
    <row r="3" spans="1:27" ht="18" customHeight="1" x14ac:dyDescent="0.3">
      <c r="A3" s="6" t="s">
        <v>27</v>
      </c>
      <c r="B3" s="7">
        <v>874</v>
      </c>
      <c r="C3" s="7">
        <v>11</v>
      </c>
      <c r="D3" s="7">
        <v>13</v>
      </c>
      <c r="E3" s="7">
        <v>16</v>
      </c>
      <c r="F3" s="7">
        <v>1</v>
      </c>
      <c r="G3" s="7">
        <v>3</v>
      </c>
      <c r="H3" s="7">
        <v>11</v>
      </c>
      <c r="I3" s="7">
        <v>55</v>
      </c>
      <c r="J3" s="7">
        <v>392</v>
      </c>
      <c r="K3" s="7">
        <v>9</v>
      </c>
      <c r="L3" s="7">
        <v>4</v>
      </c>
      <c r="M3" s="7">
        <v>405</v>
      </c>
      <c r="N3" s="7">
        <v>5.1817000000000002</v>
      </c>
      <c r="O3" s="7" t="s">
        <v>28</v>
      </c>
      <c r="P3" s="7">
        <v>140</v>
      </c>
      <c r="Q3" s="7">
        <v>2.6274999999999999</v>
      </c>
      <c r="R3" s="7" t="s">
        <v>43</v>
      </c>
      <c r="S3" s="7">
        <v>40.490400000000001</v>
      </c>
      <c r="T3" s="7">
        <v>88.600499999999997</v>
      </c>
      <c r="U3" s="7">
        <v>25.364899999999999</v>
      </c>
      <c r="V3" s="7">
        <v>119.14879999999999</v>
      </c>
      <c r="W3" s="7">
        <v>9.4429999999999996</v>
      </c>
      <c r="X3" s="7">
        <v>48.951300000000003</v>
      </c>
      <c r="Y3" s="7">
        <v>4652.2186000000002</v>
      </c>
      <c r="Z3" s="7">
        <v>4855.1265999999996</v>
      </c>
      <c r="AA3" s="7">
        <v>8827.5028999999995</v>
      </c>
    </row>
    <row r="4" spans="1:27" ht="18" customHeight="1" x14ac:dyDescent="0.3">
      <c r="A4" s="6" t="s">
        <v>30</v>
      </c>
      <c r="B4" s="7">
        <v>904</v>
      </c>
      <c r="C4" s="7">
        <v>15</v>
      </c>
      <c r="D4" s="7">
        <v>22</v>
      </c>
      <c r="E4" s="7">
        <v>8</v>
      </c>
      <c r="F4" s="7">
        <v>4</v>
      </c>
      <c r="G4" s="7">
        <v>6</v>
      </c>
      <c r="H4" s="7">
        <v>15</v>
      </c>
      <c r="I4" s="7">
        <v>70</v>
      </c>
      <c r="J4" s="7">
        <v>385</v>
      </c>
      <c r="K4" s="7">
        <v>9</v>
      </c>
      <c r="L4" s="7">
        <v>6</v>
      </c>
      <c r="M4" s="7">
        <v>400</v>
      </c>
      <c r="N4" s="7">
        <v>4.9236000000000004</v>
      </c>
      <c r="O4" s="7" t="s">
        <v>28</v>
      </c>
      <c r="P4" s="7">
        <v>0</v>
      </c>
      <c r="Q4" s="7">
        <v>0</v>
      </c>
      <c r="R4" s="7" t="s">
        <v>43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</row>
    <row r="5" spans="1:27" ht="18" customHeight="1" x14ac:dyDescent="0.3">
      <c r="A5" s="6" t="s">
        <v>31</v>
      </c>
      <c r="B5" s="7">
        <v>1345.5</v>
      </c>
      <c r="C5" s="7">
        <v>7</v>
      </c>
      <c r="D5" s="7">
        <v>1</v>
      </c>
      <c r="E5" s="7">
        <v>6</v>
      </c>
      <c r="F5" s="7">
        <v>1</v>
      </c>
      <c r="G5" s="7">
        <v>5</v>
      </c>
      <c r="H5" s="7">
        <v>4</v>
      </c>
      <c r="I5" s="7">
        <v>24</v>
      </c>
      <c r="J5" s="7">
        <v>639</v>
      </c>
      <c r="K5" s="7">
        <v>16</v>
      </c>
      <c r="L5" s="7">
        <v>11</v>
      </c>
      <c r="M5" s="7">
        <v>666</v>
      </c>
      <c r="N5" s="7">
        <v>3.702</v>
      </c>
      <c r="O5" s="7" t="s">
        <v>28</v>
      </c>
      <c r="P5" s="7">
        <v>200</v>
      </c>
      <c r="Q5" s="7">
        <v>5.0507</v>
      </c>
      <c r="R5" s="7" t="s">
        <v>43</v>
      </c>
      <c r="S5" s="7">
        <v>52.073999999999998</v>
      </c>
      <c r="T5" s="7">
        <v>113.94750000000001</v>
      </c>
      <c r="U5" s="7">
        <v>40.265700000000002</v>
      </c>
      <c r="V5" s="7">
        <v>152.21899999999999</v>
      </c>
      <c r="W5" s="7">
        <v>29.588899999999999</v>
      </c>
      <c r="X5" s="7">
        <v>71.0822</v>
      </c>
      <c r="Y5" s="7">
        <v>10080.4298</v>
      </c>
      <c r="Z5" s="7">
        <v>10373.5857</v>
      </c>
      <c r="AA5" s="7">
        <v>18861.064900000001</v>
      </c>
    </row>
    <row r="6" spans="1:27" ht="18" customHeight="1" x14ac:dyDescent="0.3">
      <c r="A6" s="6" t="s">
        <v>32</v>
      </c>
      <c r="B6" s="7">
        <v>1769.25</v>
      </c>
      <c r="C6" s="7">
        <v>27</v>
      </c>
      <c r="D6" s="7">
        <v>5</v>
      </c>
      <c r="E6" s="7">
        <v>15</v>
      </c>
      <c r="F6" s="7">
        <v>1</v>
      </c>
      <c r="G6" s="7">
        <v>5</v>
      </c>
      <c r="H6" s="7">
        <v>9</v>
      </c>
      <c r="I6" s="7">
        <v>62</v>
      </c>
      <c r="J6" s="7">
        <v>827</v>
      </c>
      <c r="K6" s="7">
        <v>19</v>
      </c>
      <c r="L6" s="7">
        <v>13</v>
      </c>
      <c r="M6" s="7">
        <v>859</v>
      </c>
      <c r="N6" s="7">
        <v>4.8010000000000002</v>
      </c>
      <c r="O6" s="7" t="s">
        <v>28</v>
      </c>
      <c r="P6" s="7">
        <v>60</v>
      </c>
      <c r="Q6" s="7">
        <v>0.5494</v>
      </c>
      <c r="R6" s="7" t="s">
        <v>43</v>
      </c>
      <c r="S6" s="7">
        <v>67.254400000000004</v>
      </c>
      <c r="T6" s="7">
        <v>147.1651</v>
      </c>
      <c r="U6" s="7">
        <v>45.671500000000002</v>
      </c>
      <c r="V6" s="7">
        <v>39.948900000000002</v>
      </c>
      <c r="W6" s="7">
        <v>4.1654999999999998</v>
      </c>
      <c r="X6" s="7">
        <v>12.0329</v>
      </c>
      <c r="Y6" s="7">
        <v>1881.8153</v>
      </c>
      <c r="Z6" s="7">
        <v>1983.6341</v>
      </c>
      <c r="AA6" s="7">
        <v>3606.6075000000001</v>
      </c>
    </row>
    <row r="7" spans="1:27" ht="18" customHeight="1" x14ac:dyDescent="0.3">
      <c r="A7" s="6" t="s">
        <v>34</v>
      </c>
      <c r="B7" s="7">
        <v>1398.5</v>
      </c>
      <c r="C7" s="7">
        <v>10</v>
      </c>
      <c r="D7" s="7">
        <v>0</v>
      </c>
      <c r="E7" s="7">
        <v>12</v>
      </c>
      <c r="F7" s="7">
        <v>5</v>
      </c>
      <c r="G7" s="7">
        <v>4</v>
      </c>
      <c r="H7" s="7">
        <v>5</v>
      </c>
      <c r="I7" s="7">
        <v>36</v>
      </c>
      <c r="J7" s="7">
        <v>663</v>
      </c>
      <c r="K7" s="7">
        <v>14</v>
      </c>
      <c r="L7" s="7">
        <v>6</v>
      </c>
      <c r="M7" s="7">
        <v>683</v>
      </c>
      <c r="N7" s="7">
        <v>4.4554</v>
      </c>
      <c r="O7" s="7" t="s">
        <v>28</v>
      </c>
      <c r="P7" s="7">
        <v>150</v>
      </c>
      <c r="Q7" s="7">
        <v>2.5973999999999999</v>
      </c>
      <c r="R7" s="7" t="s">
        <v>43</v>
      </c>
      <c r="S7" s="7">
        <v>62.380299999999998</v>
      </c>
      <c r="T7" s="7">
        <v>136.49959999999999</v>
      </c>
      <c r="U7" s="7">
        <v>38.482599999999998</v>
      </c>
      <c r="V7" s="7">
        <v>114.19280000000001</v>
      </c>
      <c r="W7" s="7">
        <v>15.787699999999999</v>
      </c>
      <c r="X7" s="7">
        <v>47.652000000000001</v>
      </c>
      <c r="Y7" s="7">
        <v>6569.8422</v>
      </c>
      <c r="Z7" s="7">
        <v>6785.9574000000002</v>
      </c>
      <c r="AA7" s="7">
        <v>12338.1044</v>
      </c>
    </row>
    <row r="8" spans="1:27" ht="18" customHeight="1" x14ac:dyDescent="0.3">
      <c r="A8" s="6" t="s">
        <v>35</v>
      </c>
      <c r="B8" s="7">
        <v>1755</v>
      </c>
      <c r="C8" s="7">
        <v>16</v>
      </c>
      <c r="D8" s="7">
        <v>3</v>
      </c>
      <c r="E8" s="7">
        <v>12</v>
      </c>
      <c r="F8" s="7">
        <v>3</v>
      </c>
      <c r="G8" s="7">
        <v>4</v>
      </c>
      <c r="H8" s="7">
        <v>8</v>
      </c>
      <c r="I8" s="7">
        <v>46</v>
      </c>
      <c r="J8" s="7">
        <v>821</v>
      </c>
      <c r="K8" s="7">
        <v>22</v>
      </c>
      <c r="L8" s="7">
        <v>19</v>
      </c>
      <c r="M8" s="7">
        <v>862</v>
      </c>
      <c r="N8" s="7">
        <v>4.6658999999999997</v>
      </c>
      <c r="O8" s="7" t="s">
        <v>28</v>
      </c>
      <c r="P8" s="7">
        <v>70</v>
      </c>
      <c r="Q8" s="7">
        <v>1.1744000000000001</v>
      </c>
      <c r="R8" s="7" t="s">
        <v>43</v>
      </c>
      <c r="S8" s="7">
        <v>35.615699999999997</v>
      </c>
      <c r="T8" s="7">
        <v>77.933599999999998</v>
      </c>
      <c r="U8" s="7">
        <v>44.040900000000001</v>
      </c>
      <c r="V8" s="7">
        <v>63.212699999999998</v>
      </c>
      <c r="W8" s="7">
        <v>8.8393999999999995</v>
      </c>
      <c r="X8" s="7">
        <v>22.8643</v>
      </c>
      <c r="Y8" s="7">
        <v>3861.9663</v>
      </c>
      <c r="Z8" s="7">
        <v>4000.9238</v>
      </c>
      <c r="AA8" s="7">
        <v>7274.4067999999997</v>
      </c>
    </row>
    <row r="9" spans="1:27" ht="18" customHeight="1" x14ac:dyDescent="0.3">
      <c r="A9" s="6" t="s">
        <v>36</v>
      </c>
      <c r="B9" s="7">
        <v>1518.75</v>
      </c>
      <c r="C9" s="7">
        <v>28</v>
      </c>
      <c r="D9" s="7">
        <v>8</v>
      </c>
      <c r="E9" s="7">
        <v>15</v>
      </c>
      <c r="F9" s="7">
        <v>3</v>
      </c>
      <c r="G9" s="7">
        <v>3</v>
      </c>
      <c r="H9" s="7">
        <v>10</v>
      </c>
      <c r="I9" s="7">
        <v>67</v>
      </c>
      <c r="J9" s="7">
        <v>700</v>
      </c>
      <c r="K9" s="7">
        <v>21</v>
      </c>
      <c r="L9" s="7">
        <v>10</v>
      </c>
      <c r="M9" s="7">
        <v>731</v>
      </c>
      <c r="N9" s="7">
        <v>5.5530999999999997</v>
      </c>
      <c r="O9" s="7" t="s">
        <v>28</v>
      </c>
      <c r="P9" s="7">
        <v>60</v>
      </c>
      <c r="Q9" s="7">
        <v>0.52190000000000003</v>
      </c>
      <c r="R9" s="7" t="s">
        <v>43</v>
      </c>
      <c r="S9" s="7">
        <v>55.691699999999997</v>
      </c>
      <c r="T9" s="7">
        <v>121.8638</v>
      </c>
      <c r="U9" s="7">
        <v>42.954999999999998</v>
      </c>
      <c r="V9" s="7">
        <v>39.285600000000002</v>
      </c>
      <c r="W9" s="7">
        <v>3.3494999999999999</v>
      </c>
      <c r="X9" s="7">
        <v>11.616899999999999</v>
      </c>
      <c r="Y9" s="7">
        <v>1798.9664</v>
      </c>
      <c r="Z9" s="7">
        <v>1896.1735000000001</v>
      </c>
      <c r="AA9" s="7">
        <v>3447.5882000000001</v>
      </c>
    </row>
    <row r="10" spans="1:27" ht="18" customHeight="1" x14ac:dyDescent="0.3">
      <c r="A10" s="6" t="s">
        <v>37</v>
      </c>
      <c r="B10" s="7">
        <v>1590.5</v>
      </c>
      <c r="C10" s="7">
        <v>12</v>
      </c>
      <c r="D10" s="7">
        <v>4</v>
      </c>
      <c r="E10" s="7">
        <v>6</v>
      </c>
      <c r="F10" s="7">
        <v>4</v>
      </c>
      <c r="G10" s="7">
        <v>2</v>
      </c>
      <c r="H10" s="7">
        <v>5</v>
      </c>
      <c r="I10" s="7">
        <v>33</v>
      </c>
      <c r="J10" s="7">
        <v>751</v>
      </c>
      <c r="K10" s="7">
        <v>9</v>
      </c>
      <c r="L10" s="7">
        <v>17</v>
      </c>
      <c r="M10" s="7">
        <v>777</v>
      </c>
      <c r="N10" s="7">
        <v>4.2632000000000003</v>
      </c>
      <c r="O10" s="7" t="s">
        <v>28</v>
      </c>
      <c r="P10" s="7">
        <v>50</v>
      </c>
      <c r="Q10" s="7">
        <v>0.87860000000000005</v>
      </c>
      <c r="R10" s="7" t="s">
        <v>43</v>
      </c>
      <c r="S10" s="7">
        <v>23.733799999999999</v>
      </c>
      <c r="T10" s="7">
        <v>51.933999999999997</v>
      </c>
      <c r="U10" s="7">
        <v>49.4345</v>
      </c>
      <c r="V10" s="7">
        <v>34.3855</v>
      </c>
      <c r="W10" s="7">
        <v>6.0492999999999997</v>
      </c>
      <c r="X10" s="7">
        <v>12.8163</v>
      </c>
      <c r="Y10" s="7">
        <v>2379.1673999999998</v>
      </c>
      <c r="Z10" s="7">
        <v>2481.8530999999998</v>
      </c>
      <c r="AA10" s="7">
        <v>4512.4601000000002</v>
      </c>
    </row>
    <row r="11" spans="1:27" ht="18" customHeight="1" x14ac:dyDescent="0.3">
      <c r="A11" s="6" t="s">
        <v>38</v>
      </c>
      <c r="B11" s="7">
        <v>1403.25</v>
      </c>
      <c r="C11" s="7">
        <v>14</v>
      </c>
      <c r="D11" s="7">
        <v>2</v>
      </c>
      <c r="E11" s="7">
        <v>7</v>
      </c>
      <c r="F11" s="7">
        <v>1</v>
      </c>
      <c r="G11" s="7">
        <v>4</v>
      </c>
      <c r="H11" s="7">
        <v>0</v>
      </c>
      <c r="I11" s="7">
        <v>28</v>
      </c>
      <c r="J11" s="7">
        <v>673</v>
      </c>
      <c r="K11" s="7">
        <v>6</v>
      </c>
      <c r="L11" s="7">
        <v>8</v>
      </c>
      <c r="M11" s="7">
        <v>687</v>
      </c>
      <c r="N11" s="7">
        <v>3.5162</v>
      </c>
      <c r="O11" s="7" t="s">
        <v>28</v>
      </c>
      <c r="P11" s="7">
        <v>190</v>
      </c>
      <c r="Q11" s="7">
        <v>3.3260999999999998</v>
      </c>
      <c r="R11" s="7" t="s">
        <v>43</v>
      </c>
      <c r="S11" s="7">
        <v>79.303899999999999</v>
      </c>
      <c r="T11" s="7">
        <v>173.5316</v>
      </c>
      <c r="U11" s="7">
        <v>43.0152</v>
      </c>
      <c r="V11" s="7">
        <v>117.78449999999999</v>
      </c>
      <c r="W11" s="7">
        <v>20.522300000000001</v>
      </c>
      <c r="X11" s="7">
        <v>37.779000000000003</v>
      </c>
      <c r="Y11" s="7">
        <v>6455.1210000000001</v>
      </c>
      <c r="Z11" s="7">
        <v>6674.2218999999996</v>
      </c>
      <c r="AA11" s="7">
        <v>12134.948899999999</v>
      </c>
    </row>
    <row r="12" spans="1:27" ht="18" customHeight="1" x14ac:dyDescent="0.3">
      <c r="A12" s="6" t="s">
        <v>39</v>
      </c>
      <c r="B12" s="7">
        <v>1811.5</v>
      </c>
      <c r="C12" s="7">
        <v>30</v>
      </c>
      <c r="D12" s="7">
        <v>2</v>
      </c>
      <c r="E12" s="7">
        <v>10</v>
      </c>
      <c r="F12" s="7">
        <v>1</v>
      </c>
      <c r="G12" s="7">
        <v>2</v>
      </c>
      <c r="H12" s="7">
        <v>5</v>
      </c>
      <c r="I12" s="7">
        <v>50</v>
      </c>
      <c r="J12" s="7">
        <v>869</v>
      </c>
      <c r="K12" s="7">
        <v>3</v>
      </c>
      <c r="L12" s="7">
        <v>7</v>
      </c>
      <c r="M12" s="7">
        <v>879</v>
      </c>
      <c r="N12" s="7">
        <v>4.6776</v>
      </c>
      <c r="O12" s="7" t="s">
        <v>28</v>
      </c>
      <c r="P12" s="7">
        <v>0</v>
      </c>
      <c r="Q12" s="7">
        <v>0</v>
      </c>
      <c r="R12" s="7" t="s">
        <v>43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1:27" ht="18" customHeight="1" x14ac:dyDescent="0.3">
      <c r="A13" s="6" t="s">
        <v>40</v>
      </c>
      <c r="B13" s="7">
        <v>856.5</v>
      </c>
      <c r="C13" s="7">
        <v>12</v>
      </c>
      <c r="D13" s="7">
        <v>8</v>
      </c>
      <c r="E13" s="7">
        <v>2</v>
      </c>
      <c r="F13" s="7">
        <v>0</v>
      </c>
      <c r="G13" s="7">
        <v>1</v>
      </c>
      <c r="H13" s="7">
        <v>5</v>
      </c>
      <c r="I13" s="7">
        <v>28</v>
      </c>
      <c r="J13" s="7">
        <v>408</v>
      </c>
      <c r="K13" s="7">
        <v>1</v>
      </c>
      <c r="L13" s="7">
        <v>0</v>
      </c>
      <c r="M13" s="7">
        <v>409</v>
      </c>
      <c r="N13" s="7">
        <v>3.3014000000000001</v>
      </c>
      <c r="O13" s="7" t="s">
        <v>33</v>
      </c>
      <c r="P13" s="7">
        <v>160</v>
      </c>
      <c r="Q13" s="7">
        <v>3.3134999999999999</v>
      </c>
      <c r="R13" s="7">
        <v>310.09030000000001</v>
      </c>
      <c r="S13" s="7">
        <v>21.4528</v>
      </c>
      <c r="T13" s="7">
        <v>46.942700000000002</v>
      </c>
      <c r="U13" s="7">
        <v>33.845599999999997</v>
      </c>
      <c r="V13" s="7">
        <v>94.184399999999997</v>
      </c>
      <c r="W13" s="7">
        <v>12.394299999999999</v>
      </c>
      <c r="X13" s="7">
        <v>28.8506</v>
      </c>
      <c r="Y13" s="7">
        <v>3748.7201</v>
      </c>
      <c r="Z13" s="7">
        <v>3917.9949999999999</v>
      </c>
      <c r="AA13" s="7">
        <v>7123.6274000000003</v>
      </c>
    </row>
    <row r="14" spans="1:27" ht="18" customHeight="1" x14ac:dyDescent="0.3">
      <c r="A14" s="6" t="s">
        <v>41</v>
      </c>
      <c r="B14" s="7">
        <v>546</v>
      </c>
      <c r="C14" s="7">
        <v>17</v>
      </c>
      <c r="D14" s="7">
        <v>0</v>
      </c>
      <c r="E14" s="7">
        <v>4</v>
      </c>
      <c r="F14" s="7">
        <v>9</v>
      </c>
      <c r="G14" s="7">
        <v>0</v>
      </c>
      <c r="H14" s="7">
        <v>4</v>
      </c>
      <c r="I14" s="7">
        <v>34</v>
      </c>
      <c r="J14" s="7">
        <v>241</v>
      </c>
      <c r="K14" s="7">
        <v>2</v>
      </c>
      <c r="L14" s="7">
        <v>5</v>
      </c>
      <c r="M14" s="7">
        <v>248</v>
      </c>
      <c r="N14" s="7">
        <v>3.7073999999999998</v>
      </c>
      <c r="O14" s="7" t="s">
        <v>28</v>
      </c>
      <c r="P14" s="7">
        <v>60</v>
      </c>
      <c r="Q14" s="7">
        <v>0.51239999999999997</v>
      </c>
      <c r="R14" s="7" t="s">
        <v>43</v>
      </c>
      <c r="S14" s="7">
        <v>19.267499999999998</v>
      </c>
      <c r="T14" s="7">
        <v>42.160899999999998</v>
      </c>
      <c r="U14" s="7">
        <v>26.699000000000002</v>
      </c>
      <c r="V14" s="7">
        <v>25.831399999999999</v>
      </c>
      <c r="W14" s="7">
        <v>1.1322000000000001</v>
      </c>
      <c r="X14" s="7">
        <v>8.4148999999999994</v>
      </c>
      <c r="Y14" s="7">
        <v>446.9973</v>
      </c>
      <c r="Z14" s="7">
        <v>509.07479999999998</v>
      </c>
      <c r="AA14" s="7">
        <v>925.59050000000002</v>
      </c>
    </row>
    <row r="15" spans="1:27" x14ac:dyDescent="0.3">
      <c r="A15" s="24" t="s">
        <v>50</v>
      </c>
      <c r="B15" s="25">
        <f t="shared" ref="B15:AA15" si="0">SUM(B$3:B$14)</f>
        <v>15772.75</v>
      </c>
      <c r="C15" s="25">
        <f t="shared" si="0"/>
        <v>199</v>
      </c>
      <c r="D15" s="25">
        <f t="shared" si="0"/>
        <v>68</v>
      </c>
      <c r="E15" s="25">
        <f t="shared" si="0"/>
        <v>113</v>
      </c>
      <c r="F15" s="25">
        <f t="shared" si="0"/>
        <v>33</v>
      </c>
      <c r="G15" s="25">
        <f t="shared" si="0"/>
        <v>39</v>
      </c>
      <c r="H15" s="25">
        <f t="shared" si="0"/>
        <v>81</v>
      </c>
      <c r="I15" s="25">
        <f t="shared" si="0"/>
        <v>533</v>
      </c>
      <c r="J15" s="25">
        <f t="shared" si="0"/>
        <v>7369</v>
      </c>
      <c r="K15" s="25">
        <f t="shared" si="0"/>
        <v>131</v>
      </c>
      <c r="L15" s="25">
        <f t="shared" si="0"/>
        <v>106</v>
      </c>
      <c r="M15" s="25">
        <f t="shared" si="0"/>
        <v>7606</v>
      </c>
      <c r="N15" s="25">
        <f t="shared" si="0"/>
        <v>52.748499999999993</v>
      </c>
      <c r="O15" s="25">
        <f t="shared" si="0"/>
        <v>0</v>
      </c>
      <c r="P15" s="25">
        <f t="shared" si="0"/>
        <v>1140</v>
      </c>
      <c r="Q15" s="25">
        <f t="shared" si="0"/>
        <v>20.551900000000003</v>
      </c>
      <c r="R15" s="25">
        <f t="shared" si="0"/>
        <v>310.09030000000001</v>
      </c>
      <c r="S15" s="25">
        <f t="shared" si="0"/>
        <v>457.26449999999994</v>
      </c>
      <c r="T15" s="25">
        <f t="shared" si="0"/>
        <v>1000.5793</v>
      </c>
      <c r="U15" s="25">
        <f t="shared" si="0"/>
        <v>389.7749</v>
      </c>
      <c r="V15" s="25">
        <f t="shared" si="0"/>
        <v>800.19359999999995</v>
      </c>
      <c r="W15" s="25">
        <f t="shared" si="0"/>
        <v>111.27210000000001</v>
      </c>
      <c r="X15" s="25">
        <f t="shared" si="0"/>
        <v>302.06040000000002</v>
      </c>
      <c r="Y15" s="25">
        <f t="shared" si="0"/>
        <v>41875.244400000003</v>
      </c>
      <c r="Z15" s="25">
        <f t="shared" si="0"/>
        <v>43478.545900000005</v>
      </c>
      <c r="AA15" s="25">
        <f t="shared" si="0"/>
        <v>79051.901599999997</v>
      </c>
    </row>
    <row r="16" spans="1:27" x14ac:dyDescent="0.3">
      <c r="A16" s="26" t="s">
        <v>64</v>
      </c>
      <c r="B16" s="25">
        <f>B$15/3</f>
        <v>5257.583333333333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>
        <f t="shared" ref="U16:AA16" si="1">U$15/3</f>
        <v>129.92496666666668</v>
      </c>
      <c r="V16" s="25">
        <f t="shared" si="1"/>
        <v>266.7312</v>
      </c>
      <c r="W16" s="25">
        <f t="shared" si="1"/>
        <v>37.090700000000005</v>
      </c>
      <c r="X16" s="25">
        <f t="shared" si="1"/>
        <v>100.68680000000001</v>
      </c>
      <c r="Y16" s="25">
        <f t="shared" si="1"/>
        <v>13958.4148</v>
      </c>
      <c r="Z16" s="25">
        <f t="shared" si="1"/>
        <v>14492.848633333335</v>
      </c>
      <c r="AA16" s="25">
        <f t="shared" si="1"/>
        <v>26350.633866666667</v>
      </c>
    </row>
    <row r="17" spans="1:27" x14ac:dyDescent="0.3">
      <c r="A17" s="26" t="s">
        <v>51</v>
      </c>
      <c r="B17" s="25">
        <f>B$15*4</f>
        <v>63091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>
        <f t="shared" ref="U17:Z17" si="2">U$15*4</f>
        <v>1559.0996</v>
      </c>
      <c r="V17" s="25">
        <f t="shared" si="2"/>
        <v>3200.7743999999998</v>
      </c>
      <c r="W17" s="25">
        <f t="shared" si="2"/>
        <v>445.08840000000004</v>
      </c>
      <c r="X17" s="25">
        <f t="shared" si="2"/>
        <v>1208.2416000000001</v>
      </c>
      <c r="Y17" s="25">
        <f t="shared" si="2"/>
        <v>167500.97760000001</v>
      </c>
      <c r="Z17" s="25">
        <f t="shared" si="2"/>
        <v>173914.18360000002</v>
      </c>
      <c r="AA17" s="25">
        <f>AA$15*4</f>
        <v>316207.60639999999</v>
      </c>
    </row>
    <row r="18" spans="1:27" x14ac:dyDescent="0.3">
      <c r="A18" s="8"/>
    </row>
    <row r="19" spans="1:27" ht="15.6" thickTop="1" thickBot="1" x14ac:dyDescent="0.35">
      <c r="A19" s="23" t="s">
        <v>46</v>
      </c>
      <c r="B19" s="16">
        <f>(SUM(B3:B14)/3)/(MAX(B3:B14)*4)</f>
        <v>0.72558423037997977</v>
      </c>
      <c r="C19" s="16"/>
      <c r="D19" s="16" t="s">
        <v>47</v>
      </c>
      <c r="E19" s="16" t="s">
        <v>49</v>
      </c>
    </row>
    <row r="20" spans="1:27" ht="15.6" thickTop="1" thickBot="1" x14ac:dyDescent="0.35"/>
    <row r="21" spans="1:27" ht="15.6" thickTop="1" thickBot="1" x14ac:dyDescent="0.35">
      <c r="A21" s="23" t="s">
        <v>60</v>
      </c>
      <c r="B21" s="16">
        <v>3000</v>
      </c>
      <c r="C21" s="16"/>
      <c r="D21" s="33" t="s">
        <v>47</v>
      </c>
      <c r="E21" s="33" t="s">
        <v>63</v>
      </c>
    </row>
    <row r="22" spans="1:27" ht="15.6" thickTop="1" thickBot="1" x14ac:dyDescent="0.35">
      <c r="A22" s="23" t="s">
        <v>62</v>
      </c>
      <c r="B22" s="16">
        <f>B16/B21</f>
        <v>1.7525277777777777</v>
      </c>
      <c r="C22" s="16"/>
      <c r="D22" s="34"/>
      <c r="E22" s="34"/>
    </row>
    <row r="23" spans="1:27" ht="15.6" thickTop="1" thickBot="1" x14ac:dyDescent="0.35"/>
    <row r="24" spans="1:27" x14ac:dyDescent="0.3">
      <c r="A24" s="29" t="s">
        <v>69</v>
      </c>
      <c r="B24" s="16">
        <f>AVERAGE(N3:N14)</f>
        <v>4.3957083333333324</v>
      </c>
      <c r="C24" s="16"/>
      <c r="D24" s="16" t="s">
        <v>47</v>
      </c>
      <c r="E24" s="16" t="s">
        <v>63</v>
      </c>
    </row>
  </sheetData>
  <mergeCells count="3">
    <mergeCell ref="A1:AA1"/>
    <mergeCell ref="D21:D22"/>
    <mergeCell ref="E21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3AC9-8666-4BDC-B190-C6BBF44BF14E}">
  <dimension ref="A1:J12"/>
  <sheetViews>
    <sheetView workbookViewId="0">
      <selection activeCell="K4" sqref="K4"/>
    </sheetView>
  </sheetViews>
  <sheetFormatPr defaultRowHeight="14.4" x14ac:dyDescent="0.3"/>
  <cols>
    <col min="1" max="1" width="23.88671875" customWidth="1"/>
    <col min="6" max="6" width="14.33203125" customWidth="1"/>
    <col min="7" max="8" width="17.88671875" customWidth="1"/>
    <col min="9" max="9" width="20.33203125" customWidth="1"/>
    <col min="10" max="10" width="18" customWidth="1"/>
  </cols>
  <sheetData>
    <row r="1" spans="1:10" s="13" customFormat="1" ht="17.399999999999999" x14ac:dyDescent="0.3">
      <c r="A1" s="38" t="s">
        <v>52</v>
      </c>
      <c r="B1" s="39"/>
      <c r="C1" s="39"/>
      <c r="D1" s="39"/>
      <c r="E1" s="39"/>
      <c r="F1" s="39"/>
      <c r="G1" s="39"/>
      <c r="H1" s="39"/>
      <c r="I1" s="40"/>
    </row>
    <row r="2" spans="1:10" ht="72" x14ac:dyDescent="0.3">
      <c r="A2" s="1" t="s">
        <v>73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27" t="s">
        <v>25</v>
      </c>
      <c r="H2" s="27" t="s">
        <v>66</v>
      </c>
      <c r="I2" s="27" t="s">
        <v>26</v>
      </c>
      <c r="J2" s="28" t="s">
        <v>67</v>
      </c>
    </row>
    <row r="3" spans="1:10" x14ac:dyDescent="0.3">
      <c r="A3" t="s">
        <v>53</v>
      </c>
      <c r="B3">
        <v>1804.5436000000002</v>
      </c>
      <c r="C3">
        <v>3962.2768000000005</v>
      </c>
      <c r="D3">
        <v>360.62360000000001</v>
      </c>
      <c r="E3">
        <v>1433.1052</v>
      </c>
      <c r="F3">
        <v>144318.71919999999</v>
      </c>
      <c r="G3">
        <v>151879.26880000002</v>
      </c>
      <c r="H3">
        <f>$G3-($D3+$C3)</f>
        <v>147556.36840000001</v>
      </c>
      <c r="I3">
        <v>276144.12479999999</v>
      </c>
      <c r="J3">
        <f>H3*(1/0.55)</f>
        <v>268284.30618181819</v>
      </c>
    </row>
    <row r="4" spans="1:10" x14ac:dyDescent="0.3">
      <c r="A4" t="s">
        <v>54</v>
      </c>
      <c r="B4">
        <v>2176.4864000000002</v>
      </c>
      <c r="C4">
        <v>3279.0931999999998</v>
      </c>
      <c r="D4">
        <v>386.60399999999998</v>
      </c>
      <c r="E4">
        <v>1218.1324000000002</v>
      </c>
      <c r="F4">
        <v>163848.11440000002</v>
      </c>
      <c r="G4">
        <v>170908.43039999998</v>
      </c>
      <c r="H4">
        <f t="shared" ref="H4" si="0">$G4-($D4+$C4)</f>
        <v>167242.73319999999</v>
      </c>
      <c r="I4">
        <v>310742.60119999998</v>
      </c>
      <c r="J4">
        <f t="shared" ref="J4:J8" si="1">H4*(1/0.55)</f>
        <v>304077.69672727271</v>
      </c>
    </row>
    <row r="5" spans="1:10" x14ac:dyDescent="0.3">
      <c r="A5" t="s">
        <v>56</v>
      </c>
      <c r="B5">
        <f>AVERAGE(B$3:B$4)</f>
        <v>1990.5150000000003</v>
      </c>
      <c r="C5">
        <f t="shared" ref="C5:G5" si="2">AVERAGE(C$3:C$4)</f>
        <v>3620.6850000000004</v>
      </c>
      <c r="D5">
        <f t="shared" si="2"/>
        <v>373.61379999999997</v>
      </c>
      <c r="E5">
        <f t="shared" si="2"/>
        <v>1325.6188000000002</v>
      </c>
      <c r="F5">
        <f t="shared" si="2"/>
        <v>154083.41680000001</v>
      </c>
      <c r="G5">
        <f t="shared" si="2"/>
        <v>161393.84960000002</v>
      </c>
      <c r="H5">
        <f>$G5-($D5+$C5)</f>
        <v>157399.55080000003</v>
      </c>
      <c r="I5">
        <f>AVERAGE(I$3:I$4)</f>
        <v>293443.36300000001</v>
      </c>
      <c r="J5">
        <f t="shared" si="1"/>
        <v>286181.00145454548</v>
      </c>
    </row>
    <row r="6" spans="1:10" x14ac:dyDescent="0.3">
      <c r="A6" t="s">
        <v>70</v>
      </c>
      <c r="B6">
        <f>B$5*240</f>
        <v>477723.60000000009</v>
      </c>
      <c r="C6">
        <f t="shared" ref="C6:J6" si="3">C$5*240</f>
        <v>868964.40000000014</v>
      </c>
      <c r="D6">
        <f t="shared" si="3"/>
        <v>89667.311999999991</v>
      </c>
      <c r="E6">
        <f t="shared" si="3"/>
        <v>318148.51200000005</v>
      </c>
      <c r="F6">
        <f t="shared" si="3"/>
        <v>36980020.032000005</v>
      </c>
      <c r="G6">
        <f t="shared" si="3"/>
        <v>38734523.904000007</v>
      </c>
      <c r="H6">
        <f t="shared" si="3"/>
        <v>37775892.192000009</v>
      </c>
      <c r="I6">
        <f t="shared" si="3"/>
        <v>70426407.120000005</v>
      </c>
      <c r="J6">
        <f t="shared" si="3"/>
        <v>68683440.349090919</v>
      </c>
    </row>
    <row r="7" spans="1:10" ht="15.6" x14ac:dyDescent="0.3">
      <c r="A7" s="41" t="s">
        <v>58</v>
      </c>
      <c r="B7" s="42"/>
      <c r="C7" s="42"/>
      <c r="D7" s="42"/>
      <c r="E7" s="42"/>
      <c r="F7" s="42"/>
      <c r="G7" s="42"/>
      <c r="H7" s="42"/>
      <c r="I7" s="43"/>
    </row>
    <row r="8" spans="1:10" x14ac:dyDescent="0.3">
      <c r="A8" t="s">
        <v>57</v>
      </c>
      <c r="B8">
        <v>1559.0996</v>
      </c>
      <c r="C8">
        <v>3200.7743999999998</v>
      </c>
      <c r="D8">
        <v>445.08840000000004</v>
      </c>
      <c r="E8">
        <v>1208.2416000000001</v>
      </c>
      <c r="F8">
        <v>167500.97760000001</v>
      </c>
      <c r="G8">
        <v>173914.18360000002</v>
      </c>
      <c r="H8">
        <f>G8-(D8+C8)</f>
        <v>170268.32080000002</v>
      </c>
      <c r="I8">
        <v>316207.60639999999</v>
      </c>
      <c r="J8">
        <f t="shared" si="1"/>
        <v>309578.76509090909</v>
      </c>
    </row>
    <row r="9" spans="1:10" x14ac:dyDescent="0.3">
      <c r="A9" t="s">
        <v>71</v>
      </c>
      <c r="B9">
        <f>B$8*125</f>
        <v>194887.45</v>
      </c>
      <c r="C9">
        <f t="shared" ref="C9:J9" si="4">C$8*125</f>
        <v>400096.8</v>
      </c>
      <c r="D9">
        <f t="shared" si="4"/>
        <v>55636.05</v>
      </c>
      <c r="E9">
        <f t="shared" si="4"/>
        <v>151030.20000000001</v>
      </c>
      <c r="F9">
        <f t="shared" si="4"/>
        <v>20937622.200000003</v>
      </c>
      <c r="G9">
        <f t="shared" si="4"/>
        <v>21739272.950000003</v>
      </c>
      <c r="H9">
        <f t="shared" si="4"/>
        <v>21283540.100000001</v>
      </c>
      <c r="I9">
        <f t="shared" si="4"/>
        <v>39525950.799999997</v>
      </c>
      <c r="J9">
        <f t="shared" si="4"/>
        <v>38697345.636363633</v>
      </c>
    </row>
    <row r="11" spans="1:10" x14ac:dyDescent="0.3">
      <c r="A11" s="14" t="s">
        <v>59</v>
      </c>
      <c r="B11" s="14">
        <f>(B$6+B$9)</f>
        <v>672611.05</v>
      </c>
      <c r="C11" s="14">
        <f t="shared" ref="C11:I11" si="5">(C$6+C$9)</f>
        <v>1269061.2000000002</v>
      </c>
      <c r="D11" s="14">
        <f t="shared" si="5"/>
        <v>145303.36199999999</v>
      </c>
      <c r="E11" s="14">
        <f t="shared" si="5"/>
        <v>469178.71200000006</v>
      </c>
      <c r="F11" s="14">
        <f t="shared" si="5"/>
        <v>57917642.232000008</v>
      </c>
      <c r="G11" s="14">
        <f t="shared" si="5"/>
        <v>60473796.85400001</v>
      </c>
      <c r="H11" s="14">
        <f>H6+H9</f>
        <v>59059432.292000011</v>
      </c>
      <c r="I11" s="15">
        <f t="shared" si="5"/>
        <v>109952357.92</v>
      </c>
      <c r="J11" s="15">
        <f>(J$6+J$9)</f>
        <v>107380785.98545456</v>
      </c>
    </row>
    <row r="12" spans="1:10" ht="17.399999999999999" x14ac:dyDescent="0.45">
      <c r="J12" s="30" t="s">
        <v>72</v>
      </c>
    </row>
  </sheetData>
  <mergeCells count="2">
    <mergeCell ref="A1:I1"/>
    <mergeCell ref="A7:I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14-12-2025 Sunday</vt:lpstr>
      <vt:lpstr>17-12-2025 Wednesday</vt:lpstr>
      <vt:lpstr>19-12-2025 Friday</vt:lpstr>
      <vt:lpstr>FINAL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2026-06-18T13:19:58Z</dcterms:created>
  <dcterms:modified xsi:type="dcterms:W3CDTF">2026-07-05T20:33:06Z</dcterms:modified>
</cp:coreProperties>
</file>